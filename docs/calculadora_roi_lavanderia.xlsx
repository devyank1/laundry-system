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Investimento" sheetId="2" state="visible" r:id="rId4"/>
    <sheet name="Premissas" sheetId="3" state="visible" r:id="rId5"/>
    <sheet name="Resultados" sheetId="4" state="visible" r:id="rId6"/>
    <sheet name="Flux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<sst xmlns="http://schemas.openxmlformats.org/spreadsheetml/2006/main" count="209" uniqueCount="181">
  <si>
    <t xml:space="preserve">Calculadora de retorno — loja de lavanderia self-service</t>
  </si>
  <si>
    <t xml:space="preserve">Planilha de apoio à decisão. Os valores iniciais são os da calculadora de referência; troque pelos seus.</t>
  </si>
  <si>
    <t xml:space="preserve">Como usar</t>
  </si>
  <si>
    <t xml:space="preserve">1. Em Investimento, informe os equipamentos (bocas, cestos por boca, preço, quantidade) e os itens de obra e instalação.</t>
  </si>
  <si>
    <t xml:space="preserve">2. Em Premissas, ajuste operação, receita, custos, impostos e forma de pagamento.</t>
  </si>
  <si>
    <t xml:space="preserve">3. Em Resultados, veja investimento, margem, payback, ROI e os três cenários. O fluxo mês a mês está em Fluxo.</t>
  </si>
  <si>
    <t xml:space="preserve">Cores</t>
  </si>
  <si>
    <t xml:space="preserve">Azul: valor que você edita.   Preto: fórmula.   Verde: valor trazido de outra aba.   Fundo amarelo: premissa que mais pesa no resultado.</t>
  </si>
  <si>
    <t xml:space="preserve">Como o cálculo funciona</t>
  </si>
  <si>
    <t xml:space="preserve">Cesto: unidade de volume e de cobrança. Cada boca (de lavagem ou de secagem) processa alguns cestos por ciclo.</t>
  </si>
  <si>
    <t xml:space="preserve">Cestos de lavagem por dia = cestos de base × ciclos por boca, arredondado para cima. Na secagem, multiplica-se também pela utilização da secagem.</t>
  </si>
  <si>
    <t xml:space="preserve">Receita mensal = (cestos lavados + cestos secos por dia) × preço por cesto × dias de operação.</t>
  </si>
  <si>
    <t xml:space="preserve">Custo variável mensal = (custo de lavagem × cestos lavados + custo de secagem × cestos secos) × dias. O custo fixo mensal inclui só a energia e a água de base da loja.</t>
  </si>
  <si>
    <t xml:space="preserve">Margem mensal = receita − custo variável − custo fixo − impostos sobre a receita.</t>
  </si>
  <si>
    <t xml:space="preserve">Totais arredondados em reais inteiros: o total da infraestrutura e o total do custo fixo (Premissas, B24). Para usar outro custo fixo, digite por cima da fórmula de B24.</t>
  </si>
  <si>
    <t xml:space="preserve">Rampa: a loja nova começa na utilização inicial e chega a 100% no mês de maturidade. Receita e custo variável acompanham a utilização; o custo fixo não.</t>
  </si>
  <si>
    <t xml:space="preserve">Payback com rampa: mês em que o caixa acumulado cruza zero. O caixa começa em − entrada e desconta impostos e parcelas do financiamento. A busca vai até 120 meses ou até o fim do horizonte, o que for maior.</t>
  </si>
  <si>
    <t xml:space="preserve">Payback simples = investimento ÷ margem mensal plena. ROI anual = margem mensal plena × 12 ÷ investimento.</t>
  </si>
  <si>
    <t xml:space="preserve">Cenários: ciclos por boca por dia menos 1, o valor informado, e mais 1 (no mínimo 1).</t>
  </si>
  <si>
    <t xml:space="preserve">Limites</t>
  </si>
  <si>
    <t xml:space="preserve">O horizonte vai até 50 anos (600 meses). O gráfico mostra os primeiros 60 meses.</t>
  </si>
  <si>
    <t xml:space="preserve">Os valores iniciais vêm da calculadora de referência e não são dados de mercado validados. Troque pelos seus.</t>
  </si>
  <si>
    <t xml:space="preserve">O arredondamento para cima dos cestos usa a aritmética de ponto flutuante do navegador na calculadora online e a do Excel nesta planilha. Em casos raros os dois diferem em 1 cesto (por exemplo: 3 cestos de secagem de base, utilização da secagem de 80% e 5 ciclos; a calculadora online conta 13 e a planilha 12). A calculadora online segue exatamente o código de referência.</t>
  </si>
  <si>
    <t xml:space="preserve">Projeção não garante resultado. Valide as premissas com a operação real e com o seu fornecedor antes de decidir.</t>
  </si>
  <si>
    <t xml:space="preserve">Investimento</t>
  </si>
  <si>
    <t xml:space="preserve">Equipamentos e infraestrutura. Valores iniciais iguais aos da calculadora de referência.</t>
  </si>
  <si>
    <t xml:space="preserve">Equipamento</t>
  </si>
  <si>
    <t xml:space="preserve">Bocas de lavagem</t>
  </si>
  <si>
    <t xml:space="preserve">Bocas de secagem</t>
  </si>
  <si>
    <t xml:space="preserve">Cestos por boca</t>
  </si>
  <si>
    <t xml:space="preserve">Preço unitário (R$)</t>
  </si>
  <si>
    <t xml:space="preserve">Quantidade</t>
  </si>
  <si>
    <t xml:space="preserve">Subtotal (R$)</t>
  </si>
  <si>
    <t xml:space="preserve">Cestos de lavagem (base)</t>
  </si>
  <si>
    <t xml:space="preserve">Cestos de secagem (base)</t>
  </si>
  <si>
    <t xml:space="preserve">Bocas de lavagem (total)</t>
  </si>
  <si>
    <t xml:space="preserve">Bocas de secagem (total)</t>
  </si>
  <si>
    <t xml:space="preserve">Chassi pequeno 2 × 10 kg</t>
  </si>
  <si>
    <t xml:space="preserve">Chassi grande 30, 2 × 13,6 kg</t>
  </si>
  <si>
    <t xml:space="preserve">Chassi grande 50, 2 × 22,7 kg</t>
  </si>
  <si>
    <t xml:space="preserve">Lavadora-extratora 20 kg + secadora</t>
  </si>
  <si>
    <t xml:space="preserve">Outro equipamento 1</t>
  </si>
  <si>
    <t xml:space="preserve">Outro equipamento 2</t>
  </si>
  <si>
    <t xml:space="preserve">Outro equipamento 3</t>
  </si>
  <si>
    <t xml:space="preserve">Outro equipamento 4</t>
  </si>
  <si>
    <t xml:space="preserve">Total</t>
  </si>
  <si>
    <t xml:space="preserve">Torre lava-e-seca = 1 boca de lavagem + 1 de secagem. Lavadora sozinha: lavagem 1, secagem 0. Secadora sozinha: lavagem 0, secagem 1.</t>
  </si>
  <si>
    <t xml:space="preserve">Infraestrutura e instalação</t>
  </si>
  <si>
    <t xml:space="preserve">Item</t>
  </si>
  <si>
    <t xml:space="preserve">Tipo</t>
  </si>
  <si>
    <t xml:space="preserve">Valor (R$)</t>
  </si>
  <si>
    <t xml:space="preserve">Custo considerado (R$)</t>
  </si>
  <si>
    <t xml:space="preserve">Projeto da loja</t>
  </si>
  <si>
    <t xml:space="preserve">Fixo</t>
  </si>
  <si>
    <t xml:space="preserve">Parede + porta de vidro</t>
  </si>
  <si>
    <t xml:space="preserve">Ar-condicionado (c/ instalação)</t>
  </si>
  <si>
    <t xml:space="preserve">Drywall</t>
  </si>
  <si>
    <t xml:space="preserve">M.O. pintura + material</t>
  </si>
  <si>
    <t xml:space="preserve">Adesivagem interna</t>
  </si>
  <si>
    <t xml:space="preserve">Diversos (alarme, internet, etc.)</t>
  </si>
  <si>
    <t xml:space="preserve">Sistema (maquininha)</t>
  </si>
  <si>
    <t xml:space="preserve">Caixa d’água 600L</t>
  </si>
  <si>
    <t xml:space="preserve">Bomba pressurização (1CV)</t>
  </si>
  <si>
    <t xml:space="preserve">Acessórios e periféricos</t>
  </si>
  <si>
    <t xml:space="preserve">Mesa de dobra</t>
  </si>
  <si>
    <t xml:space="preserve">Poltronas plástico (3x)</t>
  </si>
  <si>
    <t xml:space="preserve">Luminárias</t>
  </si>
  <si>
    <t xml:space="preserve">Extras</t>
  </si>
  <si>
    <t xml:space="preserve">M.O. elétrica/hidráulica</t>
  </si>
  <si>
    <t xml:space="preserve">Por máquina</t>
  </si>
  <si>
    <t xml:space="preserve">Quadro elétrico + disjuntores</t>
  </si>
  <si>
    <t xml:space="preserve">Cabos elétricos</t>
  </si>
  <si>
    <t xml:space="preserve">Canaleta metálica + tomadas</t>
  </si>
  <si>
    <t xml:space="preserve">Tubulação água 1" + conexões</t>
  </si>
  <si>
    <t xml:space="preserve">Tubulação esgoto PVC</t>
  </si>
  <si>
    <t xml:space="preserve">Tubulação exaustão galvanizado</t>
  </si>
  <si>
    <t xml:space="preserve">1ª compra de químicos</t>
  </si>
  <si>
    <t xml:space="preserve">Total da infraestrutura</t>
  </si>
  <si>
    <t xml:space="preserve">Fixo: valor total, independe da quantidade. Por máquina: valor por unidade de equipamento, multiplicado pela quantidade total (célula F13). O total é arredondado em reais inteiros.</t>
  </si>
  <si>
    <t xml:space="preserve">Premissas</t>
  </si>
  <si>
    <t xml:space="preserve">Valores iniciais iguais aos da calculadora de referência. Troque pelos dados da sua operação.</t>
  </si>
  <si>
    <t xml:space="preserve">Operação e receita</t>
  </si>
  <si>
    <t xml:space="preserve">Ciclos por boca por dia (loja madura)</t>
  </si>
  <si>
    <t xml:space="preserve">Quantas vezes cada boca roda por dia. Premissa de maior impacto.</t>
  </si>
  <si>
    <t xml:space="preserve">Utilização da secagem (%)</t>
  </si>
  <si>
    <t xml:space="preserve">Ritmo da secagem em relação à lavagem. Pode passar de 100% (ex.: 120% em clima úmido).</t>
  </si>
  <si>
    <t xml:space="preserve">Preço por cesto (R$)</t>
  </si>
  <si>
    <t xml:space="preserve">Cobrado por cesto, em cada operação (lavagem e secagem contam separadas).</t>
  </si>
  <si>
    <t xml:space="preserve">Dias de operação por mês</t>
  </si>
  <si>
    <t xml:space="preserve">Utilização inicial, loja nova (%)</t>
  </si>
  <si>
    <t xml:space="preserve">Utilização no mês 1, como fração da capacidade madura.</t>
  </si>
  <si>
    <t xml:space="preserve">Meses até a maturidade</t>
  </si>
  <si>
    <t xml:space="preserve">Mês em que a loja chega a 100% da capacidade.</t>
  </si>
  <si>
    <t xml:space="preserve">Custos</t>
  </si>
  <si>
    <t xml:space="preserve">Custo variável de lavagem (R$ por cesto)</t>
  </si>
  <si>
    <t xml:space="preserve">Energia, água e químicos consumidos por cesto lavado.</t>
  </si>
  <si>
    <t xml:space="preserve">Custo variável de secagem (R$ por cesto)</t>
  </si>
  <si>
    <t xml:space="preserve">Energia ou gás consumidos por cesto seco.</t>
  </si>
  <si>
    <t xml:space="preserve">Impostos sobre a receita (%)</t>
  </si>
  <si>
    <t xml:space="preserve">Descontado da receita. Ajuste ao seu regime tributário.</t>
  </si>
  <si>
    <t xml:space="preserve">Horizonte de análise (anos, de 1 a 50)</t>
  </si>
  <si>
    <t xml:space="preserve">Custo fixo mensal</t>
  </si>
  <si>
    <t xml:space="preserve">Aluguel</t>
  </si>
  <si>
    <t xml:space="preserve">Energia e água das máquinas entram no custo variável por cesto. Não repita aqui.</t>
  </si>
  <si>
    <t xml:space="preserve">Energia — base/área comum (sem máquinas)</t>
  </si>
  <si>
    <t xml:space="preserve">Água — base/limpeza (sem máquinas)</t>
  </si>
  <si>
    <t xml:space="preserve">Internet + sistema</t>
  </si>
  <si>
    <t xml:space="preserve">Mão de obra / limpeza</t>
  </si>
  <si>
    <t xml:space="preserve">Diversos</t>
  </si>
  <si>
    <t xml:space="preserve">Total do custo fixo mensal</t>
  </si>
  <si>
    <t xml:space="preserve">Arredondado em reais inteiros. Para usar outro valor, digite por cima desta fórmula.</t>
  </si>
  <si>
    <t xml:space="preserve">Pagamento do investimento</t>
  </si>
  <si>
    <t xml:space="preserve">Forma de pagamento</t>
  </si>
  <si>
    <t xml:space="preserve">À vista</t>
  </si>
  <si>
    <t xml:space="preserve">Escolha À vista ou Financiado. Entrada, prazo e taxa só valem no financiamento.</t>
  </si>
  <si>
    <t xml:space="preserve">Entrada (% do investimento)</t>
  </si>
  <si>
    <t xml:space="preserve">Prazo (meses)</t>
  </si>
  <si>
    <t xml:space="preserve">Parcelas fixas (tabela Price).</t>
  </si>
  <si>
    <t xml:space="preserve">Taxa de juros (%)</t>
  </si>
  <si>
    <t xml:space="preserve">Unidade da taxa</t>
  </si>
  <si>
    <t xml:space="preserve">ao mês</t>
  </si>
  <si>
    <t xml:space="preserve">Taxa mensal efetiva</t>
  </si>
  <si>
    <t xml:space="preserve">Resultados</t>
  </si>
  <si>
    <t xml:space="preserve">Tudo nesta aba é calculado. Edite apenas as abas Investimento e Premissas.</t>
  </si>
  <si>
    <t xml:space="preserve">Investimento e pagamento</t>
  </si>
  <si>
    <t xml:space="preserve">Equipamentos</t>
  </si>
  <si>
    <t xml:space="preserve">Infraestrutura</t>
  </si>
  <si>
    <t xml:space="preserve">Investimento total</t>
  </si>
  <si>
    <t xml:space="preserve">Desembolso inicial (entrada)</t>
  </si>
  <si>
    <t xml:space="preserve">Valor financiado</t>
  </si>
  <si>
    <t xml:space="preserve">Número de parcelas</t>
  </si>
  <si>
    <t xml:space="preserve">Parcela mensal</t>
  </si>
  <si>
    <t xml:space="preserve">Juros totais do financiamento</t>
  </si>
  <si>
    <t xml:space="preserve">Operação na maturidade (cenário realista)</t>
  </si>
  <si>
    <t xml:space="preserve">Cestos de lavagem por dia</t>
  </si>
  <si>
    <t xml:space="preserve">Cestos de secagem por dia</t>
  </si>
  <si>
    <t xml:space="preserve">Cestos por dia</t>
  </si>
  <si>
    <t xml:space="preserve">Bocas (lavagem + secagem)</t>
  </si>
  <si>
    <t xml:space="preserve">Ciclos de máquina por dia</t>
  </si>
  <si>
    <t xml:space="preserve">Receita mensal plena</t>
  </si>
  <si>
    <t xml:space="preserve">Custo variável mensal</t>
  </si>
  <si>
    <t xml:space="preserve">Impostos sobre a receita</t>
  </si>
  <si>
    <t xml:space="preserve">Margem mensal plena</t>
  </si>
  <si>
    <t xml:space="preserve">Custo operacional pleno (variável + fixo)</t>
  </si>
  <si>
    <t xml:space="preserve">Indicadores</t>
  </si>
  <si>
    <t xml:space="preserve">Payback simples (meses)</t>
  </si>
  <si>
    <t xml:space="preserve">ROI anual</t>
  </si>
  <si>
    <t xml:space="preserve">Payback com rampa (meses)</t>
  </si>
  <si>
    <t xml:space="preserve">Lucro líquido acumulado no horizonte</t>
  </si>
  <si>
    <t xml:space="preserve">Já descontados impostos, entrada, parcelas e juros.</t>
  </si>
  <si>
    <t xml:space="preserve">Receita no mês 1 (com rampa)</t>
  </si>
  <si>
    <t xml:space="preserve">Receita no ano 1 (com rampa)</t>
  </si>
  <si>
    <t xml:space="preserve">Receita no ano 1 na maturidade</t>
  </si>
  <si>
    <t xml:space="preserve">Cenários de rotatividade</t>
  </si>
  <si>
    <t xml:space="preserve">Cenário</t>
  </si>
  <si>
    <t xml:space="preserve">Ciclos por boca por dia</t>
  </si>
  <si>
    <t xml:space="preserve">Conservador</t>
  </si>
  <si>
    <t xml:space="preserve">Realista</t>
  </si>
  <si>
    <t xml:space="preserve">Otimista</t>
  </si>
  <si>
    <t xml:space="preserve">“—” em payback significa que o caixa não cruza zero no prazo analisado (120 meses ou o horizonte, o que for maior).</t>
  </si>
  <si>
    <t xml:space="preserve">Fluxo de caixa mensal</t>
  </si>
  <si>
    <t xml:space="preserve">Caixa acumulado por cenário. O mês 0 é a entrada (desembolso inicial). A última coluna usa os ciclos informados, sem o mínimo de 1.</t>
  </si>
  <si>
    <t xml:space="preserve">Mês</t>
  </si>
  <si>
    <t xml:space="preserve">Utilização</t>
  </si>
  <si>
    <t xml:space="preserve">Parcela</t>
  </si>
  <si>
    <t xml:space="preserve">Margem (conserv.)</t>
  </si>
  <si>
    <t xml:space="preserve">Fluxo (conserv.)</t>
  </si>
  <si>
    <t xml:space="preserve">Acumulado (conserv.)</t>
  </si>
  <si>
    <t xml:space="preserve">Cruzamento (conserv.)</t>
  </si>
  <si>
    <t xml:space="preserve">Margem (realista)</t>
  </si>
  <si>
    <t xml:space="preserve">Fluxo (realista)</t>
  </si>
  <si>
    <t xml:space="preserve">Acumulado (realista)</t>
  </si>
  <si>
    <t xml:space="preserve">Cruzamento (realista)</t>
  </si>
  <si>
    <t xml:space="preserve">Margem (otimista)</t>
  </si>
  <si>
    <t xml:space="preserve">Fluxo (otimista)</t>
  </si>
  <si>
    <t xml:space="preserve">Acumulado (otimista)</t>
  </si>
  <si>
    <t xml:space="preserve">Cruzamento (otimista)</t>
  </si>
  <si>
    <t xml:space="preserve">Margem (indicadores)</t>
  </si>
  <si>
    <t xml:space="preserve">Fluxo (indicadores)</t>
  </si>
  <si>
    <t xml:space="preserve">Acumulado (indicadores)</t>
  </si>
  <si>
    <t xml:space="preserve">Cruzamento (indicadores)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</si>
</sst>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-#,##0;\-"/>
    <numFmt numFmtId="166" formatCode="&quot;R$ &quot;#,##0;[RED]&quot;-R$ &quot;#,##0;\-"/>
    <numFmt numFmtId="167" formatCode="0.0\%"/>
    <numFmt numFmtId="168" formatCode="&quot;R$ &quot;#,##0.00;[RED]&quot;-R$ &quot;#,##0.00;\-"/>
    <numFmt numFmtId="169" formatCode="0.00\%"/>
    <numFmt numFmtId="170" formatCode="0.00%;\-0.00%;\-"/>
    <numFmt numFmtId="171" formatCode="0&quot; m&quot;"/>
    <numFmt numFmtId="172" formatCode="0%"/>
    <numFmt numFmtId="173" formatCode="0&quot; meses&quot;"/>
    <numFmt numFmtId="174" formatCode="#,##0"/>
    <numFmt numFmtId="175" formatCode="0.0%;\-0.0%;\-"/>
    <numFmt numFmtId="176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4F4A"/>
        <bgColor rgb="FF333333"/>
      </patternFill>
    </fill>
    <fill>
      <patternFill patternType="solid">
        <fgColor rgb="FFDCEBE9"/>
        <bgColor rgb="FFD9D9D9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CEB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B4F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Caixa acumulado por cenário (60 meses)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"Conservador"</c:f>
              <c:strCache>
                <c:ptCount val="1"/>
                <c:pt idx="0">
                  <c:v>Conservador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Fluxo!$A$4:$A$64</c:f>
              <c:strCache>
                <c:ptCount val="61"/>
                <c:pt idx="0">
                  <c:v>-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f>Fluxo!$F$4:$F$64</c:f>
              <c:numCache>
                <c:formatCode>"R$ "#,##0;[RED]"-R$ "#,##0;\-</c:formatCode>
                <c:ptCount val="61"/>
                <c:pt idx="0">
                  <c:v>-300414</c:v>
                </c:pt>
                <c:pt idx="1">
                  <c:v>-296251.85</c:v>
                </c:pt>
                <c:pt idx="2">
                  <c:v>-290738.35</c:v>
                </c:pt>
                <c:pt idx="3">
                  <c:v>-283873.5</c:v>
                </c:pt>
                <c:pt idx="4">
                  <c:v>-275657.3</c:v>
                </c:pt>
                <c:pt idx="5">
                  <c:v>-266089.75</c:v>
                </c:pt>
                <c:pt idx="6">
                  <c:v>-255170.85</c:v>
                </c:pt>
                <c:pt idx="7">
                  <c:v>-242900.6</c:v>
                </c:pt>
                <c:pt idx="8">
                  <c:v>-229279</c:v>
                </c:pt>
                <c:pt idx="9">
                  <c:v>-214306.05</c:v>
                </c:pt>
                <c:pt idx="10">
                  <c:v>-197981.75</c:v>
                </c:pt>
                <c:pt idx="11">
                  <c:v>-180306.1</c:v>
                </c:pt>
                <c:pt idx="12">
                  <c:v>-161279.1</c:v>
                </c:pt>
                <c:pt idx="13">
                  <c:v>-142252.1</c:v>
                </c:pt>
                <c:pt idx="14">
                  <c:v>-123225.1</c:v>
                </c:pt>
                <c:pt idx="15">
                  <c:v>-104198.1</c:v>
                </c:pt>
                <c:pt idx="16">
                  <c:v>-85171.1</c:v>
                </c:pt>
                <c:pt idx="17">
                  <c:v>-66144.1</c:v>
                </c:pt>
                <c:pt idx="18">
                  <c:v>-47117.1</c:v>
                </c:pt>
                <c:pt idx="19">
                  <c:v>-28090.1</c:v>
                </c:pt>
                <c:pt idx="20">
                  <c:v>-9063.10000000001</c:v>
                </c:pt>
                <c:pt idx="21">
                  <c:v>9963.89999999999</c:v>
                </c:pt>
                <c:pt idx="22">
                  <c:v>28990.9</c:v>
                </c:pt>
                <c:pt idx="23">
                  <c:v>48017.9</c:v>
                </c:pt>
                <c:pt idx="24">
                  <c:v>67044.9</c:v>
                </c:pt>
                <c:pt idx="25">
                  <c:v>86071.9</c:v>
                </c:pt>
                <c:pt idx="26">
                  <c:v>105098.9</c:v>
                </c:pt>
                <c:pt idx="27">
                  <c:v>124125.9</c:v>
                </c:pt>
                <c:pt idx="28">
                  <c:v>143152.9</c:v>
                </c:pt>
                <c:pt idx="29">
                  <c:v>162179.9</c:v>
                </c:pt>
                <c:pt idx="30">
                  <c:v>181206.9</c:v>
                </c:pt>
                <c:pt idx="31">
                  <c:v>200233.9</c:v>
                </c:pt>
                <c:pt idx="32">
                  <c:v>219260.9</c:v>
                </c:pt>
                <c:pt idx="33">
                  <c:v>238287.9</c:v>
                </c:pt>
                <c:pt idx="34">
                  <c:v>257314.9</c:v>
                </c:pt>
                <c:pt idx="35">
                  <c:v>276341.9</c:v>
                </c:pt>
                <c:pt idx="36">
                  <c:v>295368.9</c:v>
                </c:pt>
                <c:pt idx="37">
                  <c:v>314395.9</c:v>
                </c:pt>
                <c:pt idx="38">
                  <c:v>333422.9</c:v>
                </c:pt>
                <c:pt idx="39">
                  <c:v>352449.9</c:v>
                </c:pt>
                <c:pt idx="40">
                  <c:v>371476.9</c:v>
                </c:pt>
                <c:pt idx="41">
                  <c:v>390503.9</c:v>
                </c:pt>
                <c:pt idx="42">
                  <c:v>409530.9</c:v>
                </c:pt>
                <c:pt idx="43">
                  <c:v>428557.9</c:v>
                </c:pt>
                <c:pt idx="44">
                  <c:v>447584.9</c:v>
                </c:pt>
                <c:pt idx="45">
                  <c:v>466611.9</c:v>
                </c:pt>
                <c:pt idx="46">
                  <c:v>485638.9</c:v>
                </c:pt>
                <c:pt idx="47">
                  <c:v>504665.9</c:v>
                </c:pt>
                <c:pt idx="48">
                  <c:v>523692.9</c:v>
                </c:pt>
                <c:pt idx="49">
                  <c:v>542719.9</c:v>
                </c:pt>
                <c:pt idx="50">
                  <c:v>561746.9</c:v>
                </c:pt>
                <c:pt idx="51">
                  <c:v>580773.9</c:v>
                </c:pt>
                <c:pt idx="52">
                  <c:v>599800.9</c:v>
                </c:pt>
                <c:pt idx="53">
                  <c:v>618827.9</c:v>
                </c:pt>
                <c:pt idx="54">
                  <c:v>637854.9</c:v>
                </c:pt>
                <c:pt idx="55">
                  <c:v>656881.9</c:v>
                </c:pt>
                <c:pt idx="56">
                  <c:v>675908.9</c:v>
                </c:pt>
                <c:pt idx="57">
                  <c:v>694935.9</c:v>
                </c:pt>
                <c:pt idx="58">
                  <c:v>713962.9</c:v>
                </c:pt>
                <c:pt idx="59">
                  <c:v>732989.9</c:v>
                </c:pt>
                <c:pt idx="60">
                  <c:v>752016.9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"Realista"</c:f>
              <c:strCache>
                <c:ptCount val="1"/>
                <c:pt idx="0">
                  <c:v>Realista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Fluxo!$A$4:$A$64</c:f>
              <c:strCache>
                <c:ptCount val="61"/>
                <c:pt idx="0">
                  <c:v>-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f>Fluxo!$J$4:$J$64</c:f>
              <c:numCache>
                <c:formatCode>"R$ "#,##0;[RED]"-R$ "#,##0;\-</c:formatCode>
                <c:ptCount val="61"/>
                <c:pt idx="0">
                  <c:v>-300414</c:v>
                </c:pt>
                <c:pt idx="1">
                  <c:v>-293819.42</c:v>
                </c:pt>
                <c:pt idx="2">
                  <c:v>-285603.22</c:v>
                </c:pt>
                <c:pt idx="3">
                  <c:v>-275765.4</c:v>
                </c:pt>
                <c:pt idx="4">
                  <c:v>-264305.96</c:v>
                </c:pt>
                <c:pt idx="5">
                  <c:v>-251224.9</c:v>
                </c:pt>
                <c:pt idx="6">
                  <c:v>-236522.22</c:v>
                </c:pt>
                <c:pt idx="7">
                  <c:v>-220197.92</c:v>
                </c:pt>
                <c:pt idx="8">
                  <c:v>-202252</c:v>
                </c:pt>
                <c:pt idx="9">
                  <c:v>-182684.46</c:v>
                </c:pt>
                <c:pt idx="10">
                  <c:v>-161495.3</c:v>
                </c:pt>
                <c:pt idx="11">
                  <c:v>-138684.52</c:v>
                </c:pt>
                <c:pt idx="12">
                  <c:v>-114252.12</c:v>
                </c:pt>
                <c:pt idx="13">
                  <c:v>-89819.72</c:v>
                </c:pt>
                <c:pt idx="14">
                  <c:v>-65387.32</c:v>
                </c:pt>
                <c:pt idx="15">
                  <c:v>-40954.92</c:v>
                </c:pt>
                <c:pt idx="16">
                  <c:v>-16522.52</c:v>
                </c:pt>
                <c:pt idx="17">
                  <c:v>7909.88000000003</c:v>
                </c:pt>
                <c:pt idx="18">
                  <c:v>32342.28</c:v>
                </c:pt>
                <c:pt idx="19">
                  <c:v>56774.68</c:v>
                </c:pt>
                <c:pt idx="20">
                  <c:v>81207.0800000001</c:v>
                </c:pt>
                <c:pt idx="21">
                  <c:v>105639.48</c:v>
                </c:pt>
                <c:pt idx="22">
                  <c:v>130071.88</c:v>
                </c:pt>
                <c:pt idx="23">
                  <c:v>154504.28</c:v>
                </c:pt>
                <c:pt idx="24">
                  <c:v>178936.68</c:v>
                </c:pt>
                <c:pt idx="25">
                  <c:v>203369.08</c:v>
                </c:pt>
                <c:pt idx="26">
                  <c:v>227801.48</c:v>
                </c:pt>
                <c:pt idx="27">
                  <c:v>252233.88</c:v>
                </c:pt>
                <c:pt idx="28">
                  <c:v>276666.28</c:v>
                </c:pt>
                <c:pt idx="29">
                  <c:v>301098.68</c:v>
                </c:pt>
                <c:pt idx="30">
                  <c:v>325531.08</c:v>
                </c:pt>
                <c:pt idx="31">
                  <c:v>349963.48</c:v>
                </c:pt>
                <c:pt idx="32">
                  <c:v>374395.88</c:v>
                </c:pt>
                <c:pt idx="33">
                  <c:v>398828.28</c:v>
                </c:pt>
                <c:pt idx="34">
                  <c:v>423260.68</c:v>
                </c:pt>
                <c:pt idx="35">
                  <c:v>447693.08</c:v>
                </c:pt>
                <c:pt idx="36">
                  <c:v>472125.48</c:v>
                </c:pt>
                <c:pt idx="37">
                  <c:v>496557.88</c:v>
                </c:pt>
                <c:pt idx="38">
                  <c:v>520990.28</c:v>
                </c:pt>
                <c:pt idx="39">
                  <c:v>545422.68</c:v>
                </c:pt>
                <c:pt idx="40">
                  <c:v>569855.08</c:v>
                </c:pt>
                <c:pt idx="41">
                  <c:v>594287.48</c:v>
                </c:pt>
                <c:pt idx="42">
                  <c:v>618719.88</c:v>
                </c:pt>
                <c:pt idx="43">
                  <c:v>643152.28</c:v>
                </c:pt>
                <c:pt idx="44">
                  <c:v>667584.68</c:v>
                </c:pt>
                <c:pt idx="45">
                  <c:v>692017.08</c:v>
                </c:pt>
                <c:pt idx="46">
                  <c:v>716449.48</c:v>
                </c:pt>
                <c:pt idx="47">
                  <c:v>740881.880000001</c:v>
                </c:pt>
                <c:pt idx="48">
                  <c:v>765314.280000001</c:v>
                </c:pt>
                <c:pt idx="49">
                  <c:v>789746.680000001</c:v>
                </c:pt>
                <c:pt idx="50">
                  <c:v>814179.080000001</c:v>
                </c:pt>
                <c:pt idx="51">
                  <c:v>838611.480000001</c:v>
                </c:pt>
                <c:pt idx="52">
                  <c:v>863043.880000001</c:v>
                </c:pt>
                <c:pt idx="53">
                  <c:v>887476.280000001</c:v>
                </c:pt>
                <c:pt idx="54">
                  <c:v>911908.680000001</c:v>
                </c:pt>
                <c:pt idx="55">
                  <c:v>936341.080000001</c:v>
                </c:pt>
                <c:pt idx="56">
                  <c:v>960773.480000001</c:v>
                </c:pt>
                <c:pt idx="57">
                  <c:v>985205.880000001</c:v>
                </c:pt>
                <c:pt idx="58">
                  <c:v>1009638.28</c:v>
                </c:pt>
                <c:pt idx="59">
                  <c:v>1034070.68</c:v>
                </c:pt>
                <c:pt idx="60">
                  <c:v>1058503.08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"Otimista"</c:f>
              <c:strCache>
                <c:ptCount val="1"/>
                <c:pt idx="0">
                  <c:v>Otimista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Fluxo!$A$4:$A$64</c:f>
              <c:strCache>
                <c:ptCount val="61"/>
                <c:pt idx="0">
                  <c:v>-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strCache>
            </c:strRef>
          </c:cat>
          <c:val>
            <c:numRef>
              <c:f>Fluxo!$N$4:$N$64</c:f>
              <c:numCache>
                <c:formatCode>"R$ "#,##0;[RED]"-R$ "#,##0;\-</c:formatCode>
                <c:ptCount val="61"/>
                <c:pt idx="0">
                  <c:v>-300414</c:v>
                </c:pt>
                <c:pt idx="1">
                  <c:v>-291386.99</c:v>
                </c:pt>
                <c:pt idx="2">
                  <c:v>-280468.09</c:v>
                </c:pt>
                <c:pt idx="3">
                  <c:v>-267657.3</c:v>
                </c:pt>
                <c:pt idx="4">
                  <c:v>-252954.62</c:v>
                </c:pt>
                <c:pt idx="5">
                  <c:v>-236360.05</c:v>
                </c:pt>
                <c:pt idx="6">
                  <c:v>-217873.59</c:v>
                </c:pt>
                <c:pt idx="7">
                  <c:v>-197495.24</c:v>
                </c:pt>
                <c:pt idx="8">
                  <c:v>-175225</c:v>
                </c:pt>
                <c:pt idx="9">
                  <c:v>-151062.87</c:v>
                </c:pt>
                <c:pt idx="10">
                  <c:v>-125008.85</c:v>
                </c:pt>
                <c:pt idx="11">
                  <c:v>-97062.94</c:v>
                </c:pt>
                <c:pt idx="12">
                  <c:v>-67225.14</c:v>
                </c:pt>
                <c:pt idx="13">
                  <c:v>-37387.34</c:v>
                </c:pt>
                <c:pt idx="14">
                  <c:v>-7549.53999999999</c:v>
                </c:pt>
                <c:pt idx="15">
                  <c:v>22288.26</c:v>
                </c:pt>
                <c:pt idx="16">
                  <c:v>52126.06</c:v>
                </c:pt>
                <c:pt idx="17">
                  <c:v>81963.86</c:v>
                </c:pt>
                <c:pt idx="18">
                  <c:v>111801.66</c:v>
                </c:pt>
                <c:pt idx="19">
                  <c:v>141639.46</c:v>
                </c:pt>
                <c:pt idx="20">
                  <c:v>171477.26</c:v>
                </c:pt>
                <c:pt idx="21">
                  <c:v>201315.06</c:v>
                </c:pt>
                <c:pt idx="22">
                  <c:v>231152.86</c:v>
                </c:pt>
                <c:pt idx="23">
                  <c:v>260990.66</c:v>
                </c:pt>
                <c:pt idx="24">
                  <c:v>290828.46</c:v>
                </c:pt>
                <c:pt idx="25">
                  <c:v>320666.26</c:v>
                </c:pt>
                <c:pt idx="26">
                  <c:v>350504.06</c:v>
                </c:pt>
                <c:pt idx="27">
                  <c:v>380341.86</c:v>
                </c:pt>
                <c:pt idx="28">
                  <c:v>410179.66</c:v>
                </c:pt>
                <c:pt idx="29">
                  <c:v>440017.46</c:v>
                </c:pt>
                <c:pt idx="30">
                  <c:v>469855.26</c:v>
                </c:pt>
                <c:pt idx="31">
                  <c:v>499693.06</c:v>
                </c:pt>
                <c:pt idx="32">
                  <c:v>529530.86</c:v>
                </c:pt>
                <c:pt idx="33">
                  <c:v>559368.66</c:v>
                </c:pt>
                <c:pt idx="34">
                  <c:v>589206.46</c:v>
                </c:pt>
                <c:pt idx="35">
                  <c:v>619044.26</c:v>
                </c:pt>
                <c:pt idx="36">
                  <c:v>648882.06</c:v>
                </c:pt>
                <c:pt idx="37">
                  <c:v>678719.86</c:v>
                </c:pt>
                <c:pt idx="38">
                  <c:v>708557.66</c:v>
                </c:pt>
                <c:pt idx="39">
                  <c:v>738395.46</c:v>
                </c:pt>
                <c:pt idx="40">
                  <c:v>768233.26</c:v>
                </c:pt>
                <c:pt idx="41">
                  <c:v>798071.06</c:v>
                </c:pt>
                <c:pt idx="42">
                  <c:v>827908.86</c:v>
                </c:pt>
                <c:pt idx="43">
                  <c:v>857746.66</c:v>
                </c:pt>
                <c:pt idx="44">
                  <c:v>887584.46</c:v>
                </c:pt>
                <c:pt idx="45">
                  <c:v>917422.260000001</c:v>
                </c:pt>
                <c:pt idx="46">
                  <c:v>947260.060000001</c:v>
                </c:pt>
                <c:pt idx="47">
                  <c:v>977097.860000001</c:v>
                </c:pt>
                <c:pt idx="48">
                  <c:v>1006935.66</c:v>
                </c:pt>
                <c:pt idx="49">
                  <c:v>1036773.46</c:v>
                </c:pt>
                <c:pt idx="50">
                  <c:v>1066611.26</c:v>
                </c:pt>
                <c:pt idx="51">
                  <c:v>1096449.06</c:v>
                </c:pt>
                <c:pt idx="52">
                  <c:v>1126286.86</c:v>
                </c:pt>
                <c:pt idx="53">
                  <c:v>1156124.66</c:v>
                </c:pt>
                <c:pt idx="54">
                  <c:v>1185962.46</c:v>
                </c:pt>
                <c:pt idx="55">
                  <c:v>1215800.26</c:v>
                </c:pt>
                <c:pt idx="56">
                  <c:v>1245638.06</c:v>
                </c:pt>
                <c:pt idx="57">
                  <c:v>1275475.86</c:v>
                </c:pt>
                <c:pt idx="58">
                  <c:v>1305313.66</c:v>
                </c:pt>
                <c:pt idx="59">
                  <c:v>1335151.46</c:v>
                </c:pt>
                <c:pt idx="60">
                  <c:v>1364989.26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0890132"/>
        <c:axId val="5678247"/>
      </c:lineChart>
      <c:catAx>
        <c:axId val="908901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-#,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8247"/>
        <c:crosses val="autoZero"/>
        <c:auto val="1"/>
        <c:lblAlgn val="ctr"/>
        <c:lblOffset val="100"/>
        <c:noMultiLvlLbl val="0"/>
      </c:catAx>
      <c:valAx>
        <c:axId val="56782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901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160560</xdr:rowOff>
    </xdr:from>
    <xdr:to>
      <xdr:col>5</xdr:col>
      <xdr:colOff>745200</xdr:colOff>
      <xdr:row>58</xdr:row>
      <xdr:rowOff>151200</xdr:rowOff>
    </xdr:to>
    <xdr:graphicFrame>
      <xdr:nvGraphicFramePr>
        <xdr:cNvPr id="0" name="Chart 1"/>
        <xdr:cNvGraphicFramePr/>
      </xdr:nvGraphicFramePr>
      <xdr:xfrm>
        <a:off x="0" y="8020080"/>
        <a:ext cx="863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4" t="s">
        <v>9</v>
      </c>
    </row>
    <row r="14" customFormat="false" ht="23.8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4" t="s">
        <v>11</v>
      </c>
    </row>
    <row r="16" customFormat="false" ht="23.8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8" customFormat="false" ht="23.85" hidden="false" customHeight="false" outlineLevel="0" collapsed="false">
      <c r="A18" s="4" t="s">
        <v>14</v>
      </c>
    </row>
    <row r="19" customFormat="false" ht="23.85" hidden="false" customHeight="false" outlineLevel="0" collapsed="false">
      <c r="A19" s="4" t="s">
        <v>15</v>
      </c>
    </row>
    <row r="20" customFormat="false" ht="23.85" hidden="false" customHeight="false" outlineLevel="0" collapsed="false">
      <c r="A20" s="4" t="s">
        <v>16</v>
      </c>
    </row>
    <row r="21" customFormat="false" ht="15" hidden="false" customHeight="false" outlineLevel="0" collapsed="false">
      <c r="A21" s="4" t="s">
        <v>17</v>
      </c>
    </row>
    <row r="22" customFormat="false" ht="15" hidden="false" customHeight="false" outlineLevel="0" collapsed="false">
      <c r="A22" s="4" t="s">
        <v>18</v>
      </c>
    </row>
    <row r="23" customFormat="false" ht="15" hidden="false" customHeight="false" outlineLevel="0" collapsed="false">
      <c r="A23" s="4"/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4" t="s">
        <v>20</v>
      </c>
    </row>
    <row r="26" customFormat="false" ht="15" hidden="false" customHeight="false" outlineLevel="0" collapsed="false">
      <c r="A26" s="4" t="s">
        <v>21</v>
      </c>
    </row>
    <row r="27" customFormat="false" ht="35.05" hidden="false" customHeight="false" outlineLevel="0" collapsed="false">
      <c r="A27" s="4" t="s">
        <v>22</v>
      </c>
    </row>
    <row r="28" customFormat="false" ht="15" hidden="false" customHeight="false" outlineLevel="0" collapsed="false">
      <c r="A28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3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7"/>
    <col collapsed="false" customWidth="true" hidden="false" outlineLevel="0" max="9" min="8" style="0" width="14"/>
    <col collapsed="false" customWidth="true" hidden="false" outlineLevel="0" max="11" min="10" style="0" width="12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31.5" hidden="false" customHeight="true" outlineLevel="0" collapsed="false">
      <c r="A4" s="5" t="s">
        <v>26</v>
      </c>
      <c r="B4" s="5" t="s">
        <v>27</v>
      </c>
      <c r="C4" s="5" t="s">
        <v>28</v>
      </c>
      <c r="D4" s="5" t="s">
        <v>29</v>
      </c>
      <c r="E4" s="5" t="s">
        <v>30</v>
      </c>
      <c r="F4" s="5" t="s">
        <v>31</v>
      </c>
      <c r="G4" s="5" t="s">
        <v>32</v>
      </c>
      <c r="H4" s="5" t="s">
        <v>33</v>
      </c>
      <c r="I4" s="5" t="s">
        <v>34</v>
      </c>
      <c r="J4" s="5" t="s">
        <v>35</v>
      </c>
      <c r="K4" s="5" t="s">
        <v>36</v>
      </c>
    </row>
    <row r="5" customFormat="false" ht="15" hidden="false" customHeight="false" outlineLevel="0" collapsed="false">
      <c r="A5" s="6" t="s">
        <v>37</v>
      </c>
      <c r="B5" s="7" t="n">
        <v>1</v>
      </c>
      <c r="C5" s="7" t="n">
        <v>1</v>
      </c>
      <c r="D5" s="7" t="n">
        <v>1</v>
      </c>
      <c r="E5" s="8" t="n">
        <v>37234</v>
      </c>
      <c r="F5" s="7" t="n">
        <v>3</v>
      </c>
      <c r="G5" s="9" t="n">
        <f aca="false">E5*F5</f>
        <v>111702</v>
      </c>
      <c r="H5" s="10" t="n">
        <f aca="false">F5*B5*D5</f>
        <v>3</v>
      </c>
      <c r="I5" s="10" t="n">
        <f aca="false">F5*C5*D5</f>
        <v>3</v>
      </c>
      <c r="J5" s="10" t="n">
        <f aca="false">F5*B5</f>
        <v>3</v>
      </c>
      <c r="K5" s="10" t="n">
        <f aca="false">F5*C5</f>
        <v>3</v>
      </c>
    </row>
    <row r="6" customFormat="false" ht="15" hidden="false" customHeight="false" outlineLevel="0" collapsed="false">
      <c r="A6" s="6" t="s">
        <v>38</v>
      </c>
      <c r="B6" s="7" t="n">
        <v>1</v>
      </c>
      <c r="C6" s="7" t="n">
        <v>1</v>
      </c>
      <c r="D6" s="7" t="n">
        <v>2</v>
      </c>
      <c r="E6" s="8" t="n">
        <v>72616</v>
      </c>
      <c r="F6" s="7" t="n">
        <v>2</v>
      </c>
      <c r="G6" s="9" t="n">
        <f aca="false">E6*F6</f>
        <v>145232</v>
      </c>
      <c r="H6" s="10" t="n">
        <f aca="false">F6*B6*D6</f>
        <v>4</v>
      </c>
      <c r="I6" s="10" t="n">
        <f aca="false">F6*C6*D6</f>
        <v>4</v>
      </c>
      <c r="J6" s="10" t="n">
        <f aca="false">F6*B6</f>
        <v>2</v>
      </c>
      <c r="K6" s="10" t="n">
        <f aca="false">F6*C6</f>
        <v>2</v>
      </c>
    </row>
    <row r="7" customFormat="false" ht="15" hidden="false" customHeight="false" outlineLevel="0" collapsed="false">
      <c r="A7" s="6" t="s">
        <v>39</v>
      </c>
      <c r="B7" s="7" t="n">
        <v>1</v>
      </c>
      <c r="C7" s="7" t="n">
        <v>1</v>
      </c>
      <c r="D7" s="7" t="n">
        <v>3</v>
      </c>
      <c r="E7" s="8" t="n">
        <v>88723</v>
      </c>
      <c r="F7" s="7" t="n">
        <v>0</v>
      </c>
      <c r="G7" s="9" t="n">
        <f aca="false">E7*F7</f>
        <v>0</v>
      </c>
      <c r="H7" s="10" t="n">
        <f aca="false">F7*B7*D7</f>
        <v>0</v>
      </c>
      <c r="I7" s="10" t="n">
        <f aca="false">F7*C7*D7</f>
        <v>0</v>
      </c>
      <c r="J7" s="10" t="n">
        <f aca="false">F7*B7</f>
        <v>0</v>
      </c>
      <c r="K7" s="10" t="n">
        <f aca="false">F7*C7</f>
        <v>0</v>
      </c>
    </row>
    <row r="8" customFormat="false" ht="15" hidden="false" customHeight="false" outlineLevel="0" collapsed="false">
      <c r="A8" s="6" t="s">
        <v>40</v>
      </c>
      <c r="B8" s="7" t="n">
        <v>1</v>
      </c>
      <c r="C8" s="7" t="n">
        <v>1</v>
      </c>
      <c r="D8" s="7" t="n">
        <v>3</v>
      </c>
      <c r="E8" s="8" t="n">
        <v>90014</v>
      </c>
      <c r="F8" s="7" t="n">
        <v>0</v>
      </c>
      <c r="G8" s="9" t="n">
        <f aca="false">E8*F8</f>
        <v>0</v>
      </c>
      <c r="H8" s="10" t="n">
        <f aca="false">F8*B8*D8</f>
        <v>0</v>
      </c>
      <c r="I8" s="10" t="n">
        <f aca="false">F8*C8*D8</f>
        <v>0</v>
      </c>
      <c r="J8" s="10" t="n">
        <f aca="false">F8*B8</f>
        <v>0</v>
      </c>
      <c r="K8" s="10" t="n">
        <f aca="false">F8*C8</f>
        <v>0</v>
      </c>
    </row>
    <row r="9" customFormat="false" ht="15" hidden="false" customHeight="false" outlineLevel="0" collapsed="false">
      <c r="A9" s="6" t="s">
        <v>41</v>
      </c>
      <c r="B9" s="7" t="n">
        <v>0</v>
      </c>
      <c r="C9" s="7" t="n">
        <v>0</v>
      </c>
      <c r="D9" s="7" t="n">
        <v>0</v>
      </c>
      <c r="E9" s="8" t="n">
        <v>0</v>
      </c>
      <c r="F9" s="7" t="n">
        <v>0</v>
      </c>
      <c r="G9" s="9" t="n">
        <f aca="false">E9*F9</f>
        <v>0</v>
      </c>
      <c r="H9" s="10" t="n">
        <f aca="false">F9*B9*D9</f>
        <v>0</v>
      </c>
      <c r="I9" s="10" t="n">
        <f aca="false">F9*C9*D9</f>
        <v>0</v>
      </c>
      <c r="J9" s="10" t="n">
        <f aca="false">F9*B9</f>
        <v>0</v>
      </c>
      <c r="K9" s="10" t="n">
        <f aca="false">F9*C9</f>
        <v>0</v>
      </c>
    </row>
    <row r="10" customFormat="false" ht="15" hidden="false" customHeight="false" outlineLevel="0" collapsed="false">
      <c r="A10" s="6" t="s">
        <v>42</v>
      </c>
      <c r="B10" s="7" t="n">
        <v>0</v>
      </c>
      <c r="C10" s="7" t="n">
        <v>0</v>
      </c>
      <c r="D10" s="7" t="n">
        <v>0</v>
      </c>
      <c r="E10" s="8" t="n">
        <v>0</v>
      </c>
      <c r="F10" s="7" t="n">
        <v>0</v>
      </c>
      <c r="G10" s="9" t="n">
        <f aca="false">E10*F10</f>
        <v>0</v>
      </c>
      <c r="H10" s="10" t="n">
        <f aca="false">F10*B10*D10</f>
        <v>0</v>
      </c>
      <c r="I10" s="10" t="n">
        <f aca="false">F10*C10*D10</f>
        <v>0</v>
      </c>
      <c r="J10" s="10" t="n">
        <f aca="false">F10*B10</f>
        <v>0</v>
      </c>
      <c r="K10" s="10" t="n">
        <f aca="false">F10*C10</f>
        <v>0</v>
      </c>
    </row>
    <row r="11" customFormat="false" ht="15" hidden="false" customHeight="false" outlineLevel="0" collapsed="false">
      <c r="A11" s="6" t="s">
        <v>43</v>
      </c>
      <c r="B11" s="7" t="n">
        <v>0</v>
      </c>
      <c r="C11" s="7" t="n">
        <v>0</v>
      </c>
      <c r="D11" s="7" t="n">
        <v>0</v>
      </c>
      <c r="E11" s="8" t="n">
        <v>0</v>
      </c>
      <c r="F11" s="7" t="n">
        <v>0</v>
      </c>
      <c r="G11" s="9" t="n">
        <f aca="false">E11*F11</f>
        <v>0</v>
      </c>
      <c r="H11" s="10" t="n">
        <f aca="false">F11*B11*D11</f>
        <v>0</v>
      </c>
      <c r="I11" s="10" t="n">
        <f aca="false">F11*C11*D11</f>
        <v>0</v>
      </c>
      <c r="J11" s="10" t="n">
        <f aca="false">F11*B11</f>
        <v>0</v>
      </c>
      <c r="K11" s="10" t="n">
        <f aca="false">F11*C11</f>
        <v>0</v>
      </c>
    </row>
    <row r="12" customFormat="false" ht="15" hidden="false" customHeight="false" outlineLevel="0" collapsed="false">
      <c r="A12" s="6" t="s">
        <v>44</v>
      </c>
      <c r="B12" s="7" t="n">
        <v>0</v>
      </c>
      <c r="C12" s="7" t="n">
        <v>0</v>
      </c>
      <c r="D12" s="7" t="n">
        <v>0</v>
      </c>
      <c r="E12" s="8" t="n">
        <v>0</v>
      </c>
      <c r="F12" s="7" t="n">
        <v>0</v>
      </c>
      <c r="G12" s="9" t="n">
        <f aca="false">E12*F12</f>
        <v>0</v>
      </c>
      <c r="H12" s="10" t="n">
        <f aca="false">F12*B12*D12</f>
        <v>0</v>
      </c>
      <c r="I12" s="10" t="n">
        <f aca="false">F12*C12*D12</f>
        <v>0</v>
      </c>
      <c r="J12" s="10" t="n">
        <f aca="false">F12*B12</f>
        <v>0</v>
      </c>
      <c r="K12" s="10" t="n">
        <f aca="false">F12*C12</f>
        <v>0</v>
      </c>
    </row>
    <row r="13" customFormat="false" ht="15" hidden="false" customHeight="false" outlineLevel="0" collapsed="false">
      <c r="A13" s="11" t="s">
        <v>45</v>
      </c>
      <c r="B13" s="12"/>
      <c r="C13" s="12"/>
      <c r="D13" s="12"/>
      <c r="E13" s="12"/>
      <c r="F13" s="13" t="n">
        <f aca="false">SUM(F5:F12)</f>
        <v>5</v>
      </c>
      <c r="G13" s="14" t="n">
        <f aca="false">SUM(G5:G12)</f>
        <v>256934</v>
      </c>
      <c r="H13" s="13" t="n">
        <f aca="false">SUM(H5:H12)</f>
        <v>7</v>
      </c>
      <c r="I13" s="13" t="n">
        <f aca="false">SUM(I5:I12)</f>
        <v>7</v>
      </c>
      <c r="J13" s="13" t="n">
        <f aca="false">SUM(J5:J12)</f>
        <v>5</v>
      </c>
      <c r="K13" s="13" t="n">
        <f aca="false">SUM(K5:K12)</f>
        <v>5</v>
      </c>
    </row>
    <row r="14" customFormat="false" ht="15" hidden="false" customHeight="false" outlineLevel="0" collapsed="false">
      <c r="A14" s="2" t="s">
        <v>46</v>
      </c>
    </row>
    <row r="16" customFormat="false" ht="15" hidden="false" customHeight="false" outlineLevel="0" collapsed="false">
      <c r="A16" s="15" t="s">
        <v>47</v>
      </c>
      <c r="B16" s="16"/>
      <c r="C16" s="16"/>
      <c r="D16" s="16"/>
    </row>
    <row r="17" customFormat="false" ht="31.5" hidden="false" customHeight="true" outlineLevel="0" collapsed="false">
      <c r="A17" s="5" t="s">
        <v>48</v>
      </c>
      <c r="B17" s="5" t="s">
        <v>49</v>
      </c>
      <c r="C17" s="5" t="s">
        <v>50</v>
      </c>
      <c r="D17" s="5" t="s">
        <v>51</v>
      </c>
    </row>
    <row r="18" customFormat="false" ht="15" hidden="false" customHeight="false" outlineLevel="0" collapsed="false">
      <c r="A18" s="6" t="s">
        <v>52</v>
      </c>
      <c r="B18" s="6" t="s">
        <v>53</v>
      </c>
      <c r="C18" s="8" t="n">
        <v>5000</v>
      </c>
      <c r="D18" s="9" t="n">
        <f aca="false">IF(B18="Por máquina",C18*$F$13,C18)</f>
        <v>5000</v>
      </c>
    </row>
    <row r="19" customFormat="false" ht="15" hidden="false" customHeight="false" outlineLevel="0" collapsed="false">
      <c r="A19" s="6" t="s">
        <v>54</v>
      </c>
      <c r="B19" s="6" t="s">
        <v>53</v>
      </c>
      <c r="C19" s="8" t="n">
        <v>3000</v>
      </c>
      <c r="D19" s="9" t="n">
        <f aca="false">IF(B19="Por máquina",C19*$F$13,C19)</f>
        <v>3000</v>
      </c>
    </row>
    <row r="20" customFormat="false" ht="15" hidden="false" customHeight="false" outlineLevel="0" collapsed="false">
      <c r="A20" s="6" t="s">
        <v>55</v>
      </c>
      <c r="B20" s="6" t="s">
        <v>53</v>
      </c>
      <c r="C20" s="8" t="n">
        <v>3500</v>
      </c>
      <c r="D20" s="9" t="n">
        <f aca="false">IF(B20="Por máquina",C20*$F$13,C20)</f>
        <v>3500</v>
      </c>
    </row>
    <row r="21" customFormat="false" ht="15" hidden="false" customHeight="false" outlineLevel="0" collapsed="false">
      <c r="A21" s="6" t="s">
        <v>56</v>
      </c>
      <c r="B21" s="6" t="s">
        <v>53</v>
      </c>
      <c r="C21" s="8" t="n">
        <v>3000</v>
      </c>
      <c r="D21" s="9" t="n">
        <f aca="false">IF(B21="Por máquina",C21*$F$13,C21)</f>
        <v>3000</v>
      </c>
    </row>
    <row r="22" customFormat="false" ht="15" hidden="false" customHeight="false" outlineLevel="0" collapsed="false">
      <c r="A22" s="6" t="s">
        <v>57</v>
      </c>
      <c r="B22" s="6" t="s">
        <v>53</v>
      </c>
      <c r="C22" s="8" t="n">
        <v>2500</v>
      </c>
      <c r="D22" s="9" t="n">
        <f aca="false">IF(B22="Por máquina",C22*$F$13,C22)</f>
        <v>2500</v>
      </c>
    </row>
    <row r="23" customFormat="false" ht="15" hidden="false" customHeight="false" outlineLevel="0" collapsed="false">
      <c r="A23" s="6" t="s">
        <v>58</v>
      </c>
      <c r="B23" s="6" t="s">
        <v>53</v>
      </c>
      <c r="C23" s="8" t="n">
        <v>1500</v>
      </c>
      <c r="D23" s="9" t="n">
        <f aca="false">IF(B23="Por máquina",C23*$F$13,C23)</f>
        <v>1500</v>
      </c>
    </row>
    <row r="24" customFormat="false" ht="15" hidden="false" customHeight="false" outlineLevel="0" collapsed="false">
      <c r="A24" s="6" t="s">
        <v>59</v>
      </c>
      <c r="B24" s="6" t="s">
        <v>53</v>
      </c>
      <c r="C24" s="8" t="n">
        <v>1500</v>
      </c>
      <c r="D24" s="9" t="n">
        <f aca="false">IF(B24="Por máquina",C24*$F$13,C24)</f>
        <v>1500</v>
      </c>
    </row>
    <row r="25" customFormat="false" ht="15" hidden="false" customHeight="false" outlineLevel="0" collapsed="false">
      <c r="A25" s="6" t="s">
        <v>60</v>
      </c>
      <c r="B25" s="6" t="s">
        <v>53</v>
      </c>
      <c r="C25" s="8" t="n">
        <v>4000</v>
      </c>
      <c r="D25" s="9" t="n">
        <f aca="false">IF(B25="Por máquina",C25*$F$13,C25)</f>
        <v>4000</v>
      </c>
    </row>
    <row r="26" customFormat="false" ht="15" hidden="false" customHeight="false" outlineLevel="0" collapsed="false">
      <c r="A26" s="6" t="s">
        <v>61</v>
      </c>
      <c r="B26" s="6" t="s">
        <v>53</v>
      </c>
      <c r="C26" s="8" t="n">
        <v>900</v>
      </c>
      <c r="D26" s="9" t="n">
        <f aca="false">IF(B26="Por máquina",C26*$F$13,C26)</f>
        <v>900</v>
      </c>
    </row>
    <row r="27" customFormat="false" ht="15" hidden="false" customHeight="false" outlineLevel="0" collapsed="false">
      <c r="A27" s="6" t="s">
        <v>62</v>
      </c>
      <c r="B27" s="6" t="s">
        <v>53</v>
      </c>
      <c r="C27" s="8" t="n">
        <v>1300</v>
      </c>
      <c r="D27" s="9" t="n">
        <f aca="false">IF(B27="Por máquina",C27*$F$13,C27)</f>
        <v>1300</v>
      </c>
    </row>
    <row r="28" customFormat="false" ht="15" hidden="false" customHeight="false" outlineLevel="0" collapsed="false">
      <c r="A28" s="6" t="s">
        <v>63</v>
      </c>
      <c r="B28" s="6" t="s">
        <v>53</v>
      </c>
      <c r="C28" s="8" t="n">
        <v>600</v>
      </c>
      <c r="D28" s="9" t="n">
        <f aca="false">IF(B28="Por máquina",C28*$F$13,C28)</f>
        <v>600</v>
      </c>
    </row>
    <row r="29" customFormat="false" ht="15" hidden="false" customHeight="false" outlineLevel="0" collapsed="false">
      <c r="A29" s="6" t="s">
        <v>64</v>
      </c>
      <c r="B29" s="6" t="s">
        <v>53</v>
      </c>
      <c r="C29" s="8" t="n">
        <v>600</v>
      </c>
      <c r="D29" s="9" t="n">
        <f aca="false">IF(B29="Por máquina",C29*$F$13,C29)</f>
        <v>600</v>
      </c>
    </row>
    <row r="30" customFormat="false" ht="15" hidden="false" customHeight="false" outlineLevel="0" collapsed="false">
      <c r="A30" s="6" t="s">
        <v>65</v>
      </c>
      <c r="B30" s="6" t="s">
        <v>53</v>
      </c>
      <c r="C30" s="8" t="n">
        <v>380</v>
      </c>
      <c r="D30" s="9" t="n">
        <f aca="false">IF(B30="Por máquina",C30*$F$13,C30)</f>
        <v>380</v>
      </c>
    </row>
    <row r="31" customFormat="false" ht="15" hidden="false" customHeight="false" outlineLevel="0" collapsed="false">
      <c r="A31" s="6" t="s">
        <v>66</v>
      </c>
      <c r="B31" s="6" t="s">
        <v>53</v>
      </c>
      <c r="C31" s="8" t="n">
        <v>600</v>
      </c>
      <c r="D31" s="9" t="n">
        <f aca="false">IF(B31="Por máquina",C31*$F$13,C31)</f>
        <v>600</v>
      </c>
    </row>
    <row r="32" customFormat="false" ht="15" hidden="false" customHeight="false" outlineLevel="0" collapsed="false">
      <c r="A32" s="6" t="s">
        <v>67</v>
      </c>
      <c r="B32" s="6" t="s">
        <v>53</v>
      </c>
      <c r="C32" s="8" t="n">
        <v>1000</v>
      </c>
      <c r="D32" s="9" t="n">
        <f aca="false">IF(B32="Por máquina",C32*$F$13,C32)</f>
        <v>1000</v>
      </c>
    </row>
    <row r="33" customFormat="false" ht="15" hidden="false" customHeight="false" outlineLevel="0" collapsed="false">
      <c r="A33" s="6" t="s">
        <v>68</v>
      </c>
      <c r="B33" s="6" t="s">
        <v>69</v>
      </c>
      <c r="C33" s="8" t="n">
        <v>1350</v>
      </c>
      <c r="D33" s="9" t="n">
        <f aca="false">IF(B33="Por máquina",C33*$F$13,C33)</f>
        <v>6750</v>
      </c>
    </row>
    <row r="34" customFormat="false" ht="15" hidden="false" customHeight="false" outlineLevel="0" collapsed="false">
      <c r="A34" s="6" t="s">
        <v>70</v>
      </c>
      <c r="B34" s="6" t="s">
        <v>69</v>
      </c>
      <c r="C34" s="8" t="n">
        <v>300</v>
      </c>
      <c r="D34" s="9" t="n">
        <f aca="false">IF(B34="Por máquina",C34*$F$13,C34)</f>
        <v>1500</v>
      </c>
    </row>
    <row r="35" customFormat="false" ht="15" hidden="false" customHeight="false" outlineLevel="0" collapsed="false">
      <c r="A35" s="6" t="s">
        <v>71</v>
      </c>
      <c r="B35" s="6" t="s">
        <v>69</v>
      </c>
      <c r="C35" s="8" t="n">
        <v>420</v>
      </c>
      <c r="D35" s="9" t="n">
        <f aca="false">IF(B35="Por máquina",C35*$F$13,C35)</f>
        <v>2100</v>
      </c>
    </row>
    <row r="36" customFormat="false" ht="15" hidden="false" customHeight="false" outlineLevel="0" collapsed="false">
      <c r="A36" s="6" t="s">
        <v>72</v>
      </c>
      <c r="B36" s="6" t="s">
        <v>69</v>
      </c>
      <c r="C36" s="8" t="n">
        <v>70</v>
      </c>
      <c r="D36" s="9" t="n">
        <f aca="false">IF(B36="Por máquina",C36*$F$13,C36)</f>
        <v>350</v>
      </c>
    </row>
    <row r="37" customFormat="false" ht="15" hidden="false" customHeight="false" outlineLevel="0" collapsed="false">
      <c r="A37" s="6" t="s">
        <v>73</v>
      </c>
      <c r="B37" s="6" t="s">
        <v>69</v>
      </c>
      <c r="C37" s="8" t="n">
        <v>90</v>
      </c>
      <c r="D37" s="9" t="n">
        <f aca="false">IF(B37="Por máquina",C37*$F$13,C37)</f>
        <v>450</v>
      </c>
    </row>
    <row r="38" customFormat="false" ht="15" hidden="false" customHeight="false" outlineLevel="0" collapsed="false">
      <c r="A38" s="6" t="s">
        <v>74</v>
      </c>
      <c r="B38" s="6" t="s">
        <v>69</v>
      </c>
      <c r="C38" s="8" t="n">
        <v>70</v>
      </c>
      <c r="D38" s="9" t="n">
        <f aca="false">IF(B38="Por máquina",C38*$F$13,C38)</f>
        <v>350</v>
      </c>
    </row>
    <row r="39" customFormat="false" ht="15" hidden="false" customHeight="false" outlineLevel="0" collapsed="false">
      <c r="A39" s="6" t="s">
        <v>75</v>
      </c>
      <c r="B39" s="6" t="s">
        <v>69</v>
      </c>
      <c r="C39" s="8" t="n">
        <v>220</v>
      </c>
      <c r="D39" s="9" t="n">
        <f aca="false">IF(B39="Por máquina",C39*$F$13,C39)</f>
        <v>1100</v>
      </c>
    </row>
    <row r="40" customFormat="false" ht="15" hidden="false" customHeight="false" outlineLevel="0" collapsed="false">
      <c r="A40" s="6" t="s">
        <v>76</v>
      </c>
      <c r="B40" s="6" t="s">
        <v>69</v>
      </c>
      <c r="C40" s="8" t="n">
        <v>300</v>
      </c>
      <c r="D40" s="9" t="n">
        <f aca="false">IF(B40="Por máquina",C40*$F$13,C40)</f>
        <v>1500</v>
      </c>
    </row>
    <row r="41" customFormat="false" ht="15" hidden="false" customHeight="false" outlineLevel="0" collapsed="false">
      <c r="A41" s="11" t="s">
        <v>77</v>
      </c>
      <c r="B41" s="12"/>
      <c r="C41" s="12"/>
      <c r="D41" s="14" t="n">
        <f aca="false">ROUND(SUM(D18:D40),0)</f>
        <v>43480</v>
      </c>
    </row>
    <row r="42" customFormat="false" ht="15" hidden="false" customHeight="false" outlineLevel="0" collapsed="false">
      <c r="A42" s="2" t="s">
        <v>78</v>
      </c>
    </row>
  </sheetData>
  <dataValidations count="1">
    <dataValidation allowBlank="false" errorStyle="stop" operator="between" showDropDown="false" showErrorMessage="false" showInputMessage="false" sqref="B18:B40" type="list">
      <formula1>"Fixo,Por máquina"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78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15" t="s">
        <v>81</v>
      </c>
      <c r="B3" s="16"/>
      <c r="C3" s="16"/>
    </row>
    <row r="4" customFormat="false" ht="15" hidden="false" customHeight="false" outlineLevel="0" collapsed="false">
      <c r="A4" s="17" t="s">
        <v>82</v>
      </c>
      <c r="B4" s="18" t="n">
        <v>6</v>
      </c>
      <c r="C4" s="2" t="s">
        <v>83</v>
      </c>
    </row>
    <row r="5" customFormat="false" ht="15" hidden="false" customHeight="false" outlineLevel="0" collapsed="false">
      <c r="A5" s="17" t="s">
        <v>84</v>
      </c>
      <c r="B5" s="19" t="n">
        <v>100</v>
      </c>
      <c r="C5" s="2" t="s">
        <v>85</v>
      </c>
    </row>
    <row r="6" customFormat="false" ht="15" hidden="false" customHeight="false" outlineLevel="0" collapsed="false">
      <c r="A6" s="17" t="s">
        <v>86</v>
      </c>
      <c r="B6" s="20" t="n">
        <v>18</v>
      </c>
      <c r="C6" s="2" t="s">
        <v>87</v>
      </c>
    </row>
    <row r="7" customFormat="false" ht="15" hidden="false" customHeight="false" outlineLevel="0" collapsed="false">
      <c r="A7" s="17" t="s">
        <v>88</v>
      </c>
      <c r="B7" s="7" t="n">
        <v>30</v>
      </c>
      <c r="C7" s="2"/>
    </row>
    <row r="8" customFormat="false" ht="15" hidden="false" customHeight="false" outlineLevel="0" collapsed="false">
      <c r="A8" s="17" t="s">
        <v>89</v>
      </c>
      <c r="B8" s="19" t="n">
        <v>45</v>
      </c>
      <c r="C8" s="2" t="s">
        <v>90</v>
      </c>
    </row>
    <row r="9" customFormat="false" ht="15" hidden="false" customHeight="false" outlineLevel="0" collapsed="false">
      <c r="A9" s="17" t="s">
        <v>91</v>
      </c>
      <c r="B9" s="18" t="n">
        <v>12</v>
      </c>
      <c r="C9" s="2" t="s">
        <v>92</v>
      </c>
    </row>
    <row r="11" customFormat="false" ht="15" hidden="false" customHeight="false" outlineLevel="0" collapsed="false">
      <c r="A11" s="15" t="s">
        <v>93</v>
      </c>
      <c r="B11" s="16"/>
      <c r="C11" s="16"/>
    </row>
    <row r="12" customFormat="false" ht="15" hidden="false" customHeight="false" outlineLevel="0" collapsed="false">
      <c r="A12" s="17" t="s">
        <v>94</v>
      </c>
      <c r="B12" s="21" t="n">
        <v>4.5</v>
      </c>
      <c r="C12" s="2" t="s">
        <v>95</v>
      </c>
    </row>
    <row r="13" customFormat="false" ht="15" hidden="false" customHeight="false" outlineLevel="0" collapsed="false">
      <c r="A13" s="17" t="s">
        <v>96</v>
      </c>
      <c r="B13" s="21" t="n">
        <v>2.16</v>
      </c>
      <c r="C13" s="2" t="s">
        <v>97</v>
      </c>
    </row>
    <row r="14" customFormat="false" ht="15" hidden="false" customHeight="false" outlineLevel="0" collapsed="false">
      <c r="A14" s="17" t="s">
        <v>98</v>
      </c>
      <c r="B14" s="22" t="n">
        <v>10</v>
      </c>
      <c r="C14" s="2" t="s">
        <v>99</v>
      </c>
    </row>
    <row r="15" customFormat="false" ht="15" hidden="false" customHeight="false" outlineLevel="0" collapsed="false">
      <c r="A15" s="17" t="s">
        <v>100</v>
      </c>
      <c r="B15" s="7" t="n">
        <v>5</v>
      </c>
      <c r="C15" s="2"/>
    </row>
    <row r="17" customFormat="false" ht="15" hidden="false" customHeight="false" outlineLevel="0" collapsed="false">
      <c r="A17" s="15" t="s">
        <v>101</v>
      </c>
      <c r="B17" s="16"/>
      <c r="C17" s="16"/>
    </row>
    <row r="18" customFormat="false" ht="15" hidden="false" customHeight="false" outlineLevel="0" collapsed="false">
      <c r="A18" s="6" t="s">
        <v>102</v>
      </c>
      <c r="B18" s="8" t="n">
        <v>3500</v>
      </c>
      <c r="C18" s="2" t="s">
        <v>103</v>
      </c>
    </row>
    <row r="19" customFormat="false" ht="15" hidden="false" customHeight="false" outlineLevel="0" collapsed="false">
      <c r="A19" s="6" t="s">
        <v>104</v>
      </c>
      <c r="B19" s="8" t="n">
        <v>1200</v>
      </c>
    </row>
    <row r="20" customFormat="false" ht="15" hidden="false" customHeight="false" outlineLevel="0" collapsed="false">
      <c r="A20" s="6" t="s">
        <v>105</v>
      </c>
      <c r="B20" s="8" t="n">
        <v>400</v>
      </c>
    </row>
    <row r="21" customFormat="false" ht="15" hidden="false" customHeight="false" outlineLevel="0" collapsed="false">
      <c r="A21" s="6" t="s">
        <v>106</v>
      </c>
      <c r="B21" s="8" t="n">
        <v>300</v>
      </c>
    </row>
    <row r="22" customFormat="false" ht="15" hidden="false" customHeight="false" outlineLevel="0" collapsed="false">
      <c r="A22" s="6" t="s">
        <v>107</v>
      </c>
      <c r="B22" s="8" t="n">
        <v>2000</v>
      </c>
    </row>
    <row r="23" customFormat="false" ht="15" hidden="false" customHeight="false" outlineLevel="0" collapsed="false">
      <c r="A23" s="6" t="s">
        <v>108</v>
      </c>
      <c r="B23" s="8" t="n">
        <v>600</v>
      </c>
    </row>
    <row r="24" customFormat="false" ht="15" hidden="false" customHeight="false" outlineLevel="0" collapsed="false">
      <c r="A24" s="11" t="s">
        <v>109</v>
      </c>
      <c r="B24" s="14" t="n">
        <f aca="false">ROUND(SUM(B18:B23),0)</f>
        <v>8000</v>
      </c>
      <c r="C24" s="2" t="s">
        <v>110</v>
      </c>
    </row>
    <row r="26" customFormat="false" ht="15" hidden="false" customHeight="false" outlineLevel="0" collapsed="false">
      <c r="A26" s="15" t="s">
        <v>111</v>
      </c>
      <c r="B26" s="16"/>
      <c r="C26" s="16"/>
    </row>
    <row r="27" customFormat="false" ht="15" hidden="false" customHeight="false" outlineLevel="0" collapsed="false">
      <c r="A27" s="17" t="s">
        <v>112</v>
      </c>
      <c r="B27" s="6" t="s">
        <v>113</v>
      </c>
      <c r="C27" s="2" t="s">
        <v>114</v>
      </c>
    </row>
    <row r="28" customFormat="false" ht="15" hidden="false" customHeight="false" outlineLevel="0" collapsed="false">
      <c r="A28" s="17" t="s">
        <v>115</v>
      </c>
      <c r="B28" s="22" t="n">
        <v>20</v>
      </c>
    </row>
    <row r="29" customFormat="false" ht="15" hidden="false" customHeight="false" outlineLevel="0" collapsed="false">
      <c r="A29" s="17" t="s">
        <v>116</v>
      </c>
      <c r="B29" s="7" t="n">
        <v>24</v>
      </c>
      <c r="C29" s="2" t="s">
        <v>117</v>
      </c>
    </row>
    <row r="30" customFormat="false" ht="15" hidden="false" customHeight="false" outlineLevel="0" collapsed="false">
      <c r="A30" s="17" t="s">
        <v>118</v>
      </c>
      <c r="B30" s="23" t="n">
        <v>2</v>
      </c>
    </row>
    <row r="31" customFormat="false" ht="15" hidden="false" customHeight="false" outlineLevel="0" collapsed="false">
      <c r="A31" s="17" t="s">
        <v>119</v>
      </c>
      <c r="B31" s="6" t="s">
        <v>120</v>
      </c>
    </row>
    <row r="32" customFormat="false" ht="15" hidden="false" customHeight="false" outlineLevel="0" collapsed="false">
      <c r="A32" s="17" t="s">
        <v>121</v>
      </c>
      <c r="B32" s="24" t="n">
        <f aca="false">IF(B31="ao ano",(1+B30/100)^(1/12)-1,B30/100)</f>
        <v>0.02</v>
      </c>
    </row>
  </sheetData>
  <dataValidations count="4">
    <dataValidation allowBlank="false" errorStyle="stop" operator="between" showDropDown="false" showErrorMessage="false" showInputMessage="false" sqref="B27" type="list">
      <formula1>"À vista,Financiado"</formula1>
      <formula2>0</formula2>
    </dataValidation>
    <dataValidation allowBlank="false" errorStyle="stop" operator="between" showDropDown="false" showErrorMessage="false" showInputMessage="false" sqref="B31" type="list">
      <formula1>"ao mês,ao ano"</formula1>
      <formula2>0</formula2>
    </dataValidation>
    <dataValidation allowBlank="false" errorStyle="stop" operator="between" showDropDown="false" showErrorMessage="false" showInputMessage="false" sqref="B15" type="whole">
      <formula1>1</formula1>
      <formula2>50</formula2>
    </dataValidation>
    <dataValidation allowBlank="false" errorStyle="stop" operator="between" showDropDown="false" showErrorMessage="false" showInputMessage="false" sqref="B8 B14 B28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F4A"/>
    <pageSetUpPr fitToPage="fals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3" customFormat="false" ht="15" hidden="false" customHeight="false" outlineLevel="0" collapsed="false">
      <c r="A3" s="15" t="s">
        <v>124</v>
      </c>
      <c r="B3" s="16"/>
      <c r="C3" s="16"/>
      <c r="D3" s="16"/>
      <c r="E3" s="16"/>
      <c r="F3" s="16"/>
      <c r="G3" s="16"/>
      <c r="H3" s="16"/>
    </row>
    <row r="4" customFormat="false" ht="15" hidden="false" customHeight="false" outlineLevel="0" collapsed="false">
      <c r="A4" s="17" t="s">
        <v>125</v>
      </c>
      <c r="B4" s="25" t="n">
        <f aca="false">Investimento!G13</f>
        <v>256934</v>
      </c>
    </row>
    <row r="5" customFormat="false" ht="15" hidden="false" customHeight="false" outlineLevel="0" collapsed="false">
      <c r="A5" s="17" t="s">
        <v>126</v>
      </c>
      <c r="B5" s="25" t="n">
        <f aca="false">Investimento!D41</f>
        <v>43480</v>
      </c>
    </row>
    <row r="6" customFormat="false" ht="15" hidden="false" customHeight="false" outlineLevel="0" collapsed="false">
      <c r="A6" s="26" t="s">
        <v>127</v>
      </c>
      <c r="B6" s="27" t="n">
        <f aca="false">B4+B5</f>
        <v>300414</v>
      </c>
    </row>
    <row r="7" customFormat="false" ht="15" hidden="false" customHeight="false" outlineLevel="0" collapsed="false">
      <c r="A7" s="17" t="s">
        <v>128</v>
      </c>
      <c r="B7" s="9" t="n">
        <f aca="false">IF(Premissas!B27="Financiado",B6*(MIN(100,MAX(0,Premissas!B28))/100),B6)</f>
        <v>300414</v>
      </c>
    </row>
    <row r="8" customFormat="false" ht="15" hidden="false" customHeight="false" outlineLevel="0" collapsed="false">
      <c r="A8" s="17" t="s">
        <v>129</v>
      </c>
      <c r="B8" s="9" t="n">
        <f aca="false">B6-B7</f>
        <v>0</v>
      </c>
    </row>
    <row r="9" customFormat="false" ht="15" hidden="false" customHeight="false" outlineLevel="0" collapsed="false">
      <c r="A9" s="17" t="s">
        <v>130</v>
      </c>
      <c r="B9" s="10" t="n">
        <f aca="false">IF(Premissas!B27="Financiado",MAX(1,ROUND(Premissas!B29,0)),0)</f>
        <v>0</v>
      </c>
    </row>
    <row r="10" customFormat="false" ht="15" hidden="false" customHeight="false" outlineLevel="0" collapsed="false">
      <c r="A10" s="17" t="s">
        <v>131</v>
      </c>
      <c r="B10" s="9" t="n">
        <f aca="false">IF(B9=0,0,IF(Premissas!B32&gt;0,B8*Premissas!B32/(1-(1+Premissas!B32)^(-B9)),B8/B9))</f>
        <v>0</v>
      </c>
    </row>
    <row r="11" customFormat="false" ht="15" hidden="false" customHeight="false" outlineLevel="0" collapsed="false">
      <c r="A11" s="17" t="s">
        <v>132</v>
      </c>
      <c r="B11" s="9" t="n">
        <f aca="false">B10*B9-B8</f>
        <v>0</v>
      </c>
    </row>
    <row r="13" customFormat="false" ht="15" hidden="false" customHeight="false" outlineLevel="0" collapsed="false">
      <c r="A13" s="15" t="s">
        <v>133</v>
      </c>
      <c r="B13" s="16"/>
      <c r="C13" s="16"/>
      <c r="D13" s="16"/>
      <c r="E13" s="16"/>
      <c r="F13" s="16"/>
      <c r="G13" s="16"/>
      <c r="H13" s="16"/>
    </row>
    <row r="14" customFormat="false" ht="15" hidden="false" customHeight="false" outlineLevel="0" collapsed="false">
      <c r="A14" s="17" t="s">
        <v>134</v>
      </c>
      <c r="B14" s="10" t="n">
        <f aca="false">ROUNDUP(Investimento!H13*Premissas!B4,0)</f>
        <v>42</v>
      </c>
    </row>
    <row r="15" customFormat="false" ht="15" hidden="false" customHeight="false" outlineLevel="0" collapsed="false">
      <c r="A15" s="17" t="s">
        <v>135</v>
      </c>
      <c r="B15" s="10" t="n">
        <f aca="false">ROUNDUP(Investimento!I13*(Premissas!B5/100)*Premissas!B4,0)</f>
        <v>42</v>
      </c>
    </row>
    <row r="16" customFormat="false" ht="15" hidden="false" customHeight="false" outlineLevel="0" collapsed="false">
      <c r="A16" s="17" t="s">
        <v>136</v>
      </c>
      <c r="B16" s="10" t="n">
        <f aca="false">B14+B15</f>
        <v>84</v>
      </c>
    </row>
    <row r="17" customFormat="false" ht="15" hidden="false" customHeight="false" outlineLevel="0" collapsed="false">
      <c r="A17" s="17" t="s">
        <v>137</v>
      </c>
      <c r="B17" s="10" t="n">
        <f aca="false">Investimento!J13+Investimento!K13</f>
        <v>10</v>
      </c>
    </row>
    <row r="18" customFormat="false" ht="15" hidden="false" customHeight="false" outlineLevel="0" collapsed="false">
      <c r="A18" s="17" t="s">
        <v>138</v>
      </c>
      <c r="B18" s="10" t="n">
        <f aca="false">ROUND(Investimento!J13*Premissas!B4+Investimento!K13*Premissas!B4*(Premissas!B5/100),0)</f>
        <v>60</v>
      </c>
    </row>
    <row r="19" customFormat="false" ht="15" hidden="false" customHeight="false" outlineLevel="0" collapsed="false">
      <c r="A19" s="17" t="s">
        <v>139</v>
      </c>
      <c r="B19" s="9" t="n">
        <f aca="false">B16*Premissas!B6*Premissas!B7</f>
        <v>45360</v>
      </c>
    </row>
    <row r="20" customFormat="false" ht="15" hidden="false" customHeight="false" outlineLevel="0" collapsed="false">
      <c r="A20" s="17" t="s">
        <v>140</v>
      </c>
      <c r="B20" s="9" t="n">
        <f aca="false">(Premissas!B12*B14+Premissas!B13*B15)*Premissas!B7</f>
        <v>8391.6</v>
      </c>
    </row>
    <row r="21" customFormat="false" ht="15" hidden="false" customHeight="false" outlineLevel="0" collapsed="false">
      <c r="A21" s="17" t="s">
        <v>101</v>
      </c>
      <c r="B21" s="9" t="n">
        <f aca="false">Premissas!B24</f>
        <v>8000</v>
      </c>
    </row>
    <row r="22" customFormat="false" ht="15" hidden="false" customHeight="false" outlineLevel="0" collapsed="false">
      <c r="A22" s="17" t="s">
        <v>141</v>
      </c>
      <c r="B22" s="9" t="n">
        <f aca="false">B19*(Premissas!B14/100)</f>
        <v>4536</v>
      </c>
    </row>
    <row r="23" customFormat="false" ht="15" hidden="false" customHeight="false" outlineLevel="0" collapsed="false">
      <c r="A23" s="26" t="s">
        <v>142</v>
      </c>
      <c r="B23" s="27" t="n">
        <f aca="false">B19-B20-B21-B22</f>
        <v>24432.4</v>
      </c>
    </row>
    <row r="24" customFormat="false" ht="15" hidden="false" customHeight="false" outlineLevel="0" collapsed="false">
      <c r="A24" s="17" t="s">
        <v>143</v>
      </c>
      <c r="B24" s="9" t="n">
        <f aca="false">B20+B21</f>
        <v>16391.6</v>
      </c>
    </row>
    <row r="26" customFormat="false" ht="15" hidden="false" customHeight="false" outlineLevel="0" collapsed="false">
      <c r="A26" s="15" t="s">
        <v>144</v>
      </c>
      <c r="B26" s="16"/>
      <c r="C26" s="16"/>
      <c r="D26" s="16"/>
      <c r="E26" s="16"/>
      <c r="F26" s="16"/>
      <c r="G26" s="16"/>
      <c r="H26" s="16"/>
    </row>
    <row r="27" customFormat="false" ht="15" hidden="false" customHeight="false" outlineLevel="0" collapsed="false">
      <c r="A27" s="26" t="s">
        <v>145</v>
      </c>
      <c r="B27" s="28" t="n">
        <f aca="false">IF(B23&gt;0,B6/B23,"—")</f>
        <v>12.2957220739674</v>
      </c>
    </row>
    <row r="28" customFormat="false" ht="15" hidden="false" customHeight="false" outlineLevel="0" collapsed="false">
      <c r="A28" s="26" t="s">
        <v>146</v>
      </c>
      <c r="B28" s="29" t="n">
        <f aca="false">IF(B23&gt;0,IF(B6&gt;0,B23*12/B6,0),"—")</f>
        <v>0.975949190117638</v>
      </c>
    </row>
    <row r="29" customFormat="false" ht="15" hidden="false" customHeight="false" outlineLevel="0" collapsed="false">
      <c r="A29" s="26" t="s">
        <v>147</v>
      </c>
      <c r="B29" s="30" t="n">
        <f aca="false">IF(COUNT(Fluxo!S5:S604)=0,"—",MIN(Fluxo!S5:S604))</f>
        <v>16.6762544817537</v>
      </c>
    </row>
    <row r="30" customFormat="false" ht="15" hidden="false" customHeight="false" outlineLevel="0" collapsed="false">
      <c r="A30" s="17" t="s">
        <v>148</v>
      </c>
      <c r="B30" s="31" t="n">
        <f aca="false">INDEX(Fluxo!R4:R604,ROUNDDOWN(Premissas!B15*12,0)+1)</f>
        <v>1058503.08</v>
      </c>
      <c r="C30" s="2" t="s">
        <v>149</v>
      </c>
    </row>
    <row r="31" customFormat="false" ht="15" hidden="false" customHeight="false" outlineLevel="0" collapsed="false">
      <c r="A31" s="17" t="s">
        <v>150</v>
      </c>
      <c r="B31" s="31" t="n">
        <f aca="false">B19*Fluxo!B5</f>
        <v>20412</v>
      </c>
    </row>
    <row r="32" customFormat="false" ht="15" hidden="false" customHeight="false" outlineLevel="0" collapsed="false">
      <c r="A32" s="17" t="s">
        <v>151</v>
      </c>
      <c r="B32" s="31" t="n">
        <f aca="false">SUMPRODUCT(Fluxo!B5:B16*B19)</f>
        <v>394632</v>
      </c>
    </row>
    <row r="33" customFormat="false" ht="15" hidden="false" customHeight="false" outlineLevel="0" collapsed="false">
      <c r="A33" s="17" t="s">
        <v>152</v>
      </c>
      <c r="B33" s="31" t="n">
        <f aca="false">B19*12</f>
        <v>544320</v>
      </c>
    </row>
    <row r="35" customFormat="false" ht="15" hidden="false" customHeight="false" outlineLevel="0" collapsed="false">
      <c r="A35" s="15" t="s">
        <v>153</v>
      </c>
      <c r="B35" s="16"/>
      <c r="C35" s="16"/>
      <c r="D35" s="16"/>
      <c r="E35" s="16"/>
      <c r="F35" s="16"/>
      <c r="G35" s="16"/>
      <c r="H35" s="16"/>
    </row>
    <row r="36" customFormat="false" ht="31.5" hidden="false" customHeight="true" outlineLevel="0" collapsed="false">
      <c r="A36" s="5" t="s">
        <v>154</v>
      </c>
      <c r="B36" s="5" t="s">
        <v>155</v>
      </c>
      <c r="C36" s="5" t="s">
        <v>134</v>
      </c>
      <c r="D36" s="5" t="s">
        <v>135</v>
      </c>
      <c r="E36" s="5" t="s">
        <v>139</v>
      </c>
      <c r="F36" s="5" t="s">
        <v>140</v>
      </c>
      <c r="G36" s="5" t="s">
        <v>142</v>
      </c>
      <c r="H36" s="5" t="s">
        <v>147</v>
      </c>
    </row>
    <row r="37" customFormat="false" ht="15" hidden="false" customHeight="false" outlineLevel="0" collapsed="false">
      <c r="A37" s="17" t="s">
        <v>156</v>
      </c>
      <c r="B37" s="10" t="n">
        <f aca="false">MAX(1,Premissas!B4-1)</f>
        <v>5</v>
      </c>
      <c r="C37" s="10" t="n">
        <f aca="false">ROUNDUP(Investimento!$H$13*B37,0)</f>
        <v>35</v>
      </c>
      <c r="D37" s="10" t="n">
        <f aca="false">ROUNDUP(Investimento!$I$13*(Premissas!$B$5/100)*B37,0)</f>
        <v>35</v>
      </c>
      <c r="E37" s="9" t="n">
        <f aca="false">(C37+D37)*Premissas!$B$6*Premissas!$B$7</f>
        <v>37800</v>
      </c>
      <c r="F37" s="9" t="n">
        <f aca="false">(Premissas!$B$12*C37+Premissas!$B$13*D37)*Premissas!$B$7</f>
        <v>6993</v>
      </c>
      <c r="G37" s="9" t="n">
        <f aca="false">E37-F37-Premissas!$B$24-E37*(Premissas!$B$14/100)</f>
        <v>19027</v>
      </c>
      <c r="H37" s="32" t="n">
        <f aca="false">IF(COUNT(Fluxo!G5:G604)=0,"—",MIN(Fluxo!G5:G604))</f>
        <v>20.4763283754664</v>
      </c>
    </row>
    <row r="38" customFormat="false" ht="15" hidden="false" customHeight="false" outlineLevel="0" collapsed="false">
      <c r="A38" s="15" t="s">
        <v>157</v>
      </c>
      <c r="B38" s="33" t="n">
        <f aca="false">MAX(1,Premissas!B4)</f>
        <v>6</v>
      </c>
      <c r="C38" s="33" t="n">
        <f aca="false">ROUNDUP(Investimento!$H$13*B38,0)</f>
        <v>42</v>
      </c>
      <c r="D38" s="33" t="n">
        <f aca="false">ROUNDUP(Investimento!$I$13*(Premissas!$B$5/100)*B38,0)</f>
        <v>42</v>
      </c>
      <c r="E38" s="34" t="n">
        <f aca="false">(C38+D38)*Premissas!$B$6*Premissas!$B$7</f>
        <v>45360</v>
      </c>
      <c r="F38" s="34" t="n">
        <f aca="false">(Premissas!$B$12*C38+Premissas!$B$13*D38)*Premissas!$B$7</f>
        <v>8391.6</v>
      </c>
      <c r="G38" s="34" t="n">
        <f aca="false">E38-F38-Premissas!$B$24-E38*(Premissas!$B$14/100)</f>
        <v>24432.4</v>
      </c>
      <c r="H38" s="35" t="n">
        <f aca="false">IF(COUNT(Fluxo!K5:K604)=0,"—",MIN(Fluxo!K5:K604))</f>
        <v>16.6762544817537</v>
      </c>
    </row>
    <row r="39" customFormat="false" ht="15" hidden="false" customHeight="false" outlineLevel="0" collapsed="false">
      <c r="A39" s="17" t="s">
        <v>158</v>
      </c>
      <c r="B39" s="10" t="n">
        <f aca="false">MAX(1,Premissas!B4+1)</f>
        <v>7</v>
      </c>
      <c r="C39" s="10" t="n">
        <f aca="false">ROUNDUP(Investimento!$H$13*B39,0)</f>
        <v>49</v>
      </c>
      <c r="D39" s="10" t="n">
        <f aca="false">ROUNDUP(Investimento!$I$13*(Premissas!$B$5/100)*B39,0)</f>
        <v>49</v>
      </c>
      <c r="E39" s="9" t="n">
        <f aca="false">(C39+D39)*Premissas!$B$6*Premissas!$B$7</f>
        <v>52920</v>
      </c>
      <c r="F39" s="9" t="n">
        <f aca="false">(Premissas!$B$12*C39+Premissas!$B$13*D39)*Premissas!$B$7</f>
        <v>9790.2</v>
      </c>
      <c r="G39" s="9" t="n">
        <f aca="false">E39-F39-Premissas!$B$24-E39*(Premissas!$B$14/100)</f>
        <v>29837.8</v>
      </c>
      <c r="H39" s="32" t="n">
        <f aca="false">IF(COUNT(Fluxo!O5:O604)=0,"—",MIN(Fluxo!O5:O604))</f>
        <v>14.253019324481</v>
      </c>
    </row>
    <row r="40" customFormat="false" ht="15" hidden="false" customHeight="false" outlineLevel="0" collapsed="false">
      <c r="A40" s="2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9" min="2" style="0" width="14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3" customFormat="false" ht="43.5" hidden="false" customHeight="true" outlineLevel="0" collapsed="false">
      <c r="A3" s="5" t="s">
        <v>162</v>
      </c>
      <c r="B3" s="5" t="s">
        <v>163</v>
      </c>
      <c r="C3" s="5" t="s">
        <v>164</v>
      </c>
      <c r="D3" s="5" t="s">
        <v>165</v>
      </c>
      <c r="E3" s="5" t="s">
        <v>166</v>
      </c>
      <c r="F3" s="5" t="s">
        <v>167</v>
      </c>
      <c r="G3" s="5" t="s">
        <v>168</v>
      </c>
      <c r="H3" s="5" t="s">
        <v>169</v>
      </c>
      <c r="I3" s="5" t="s">
        <v>170</v>
      </c>
      <c r="J3" s="5" t="s">
        <v>171</v>
      </c>
      <c r="K3" s="5" t="s">
        <v>172</v>
      </c>
      <c r="L3" s="5" t="s">
        <v>173</v>
      </c>
      <c r="M3" s="5" t="s">
        <v>174</v>
      </c>
      <c r="N3" s="5" t="s">
        <v>175</v>
      </c>
      <c r="O3" s="5" t="s">
        <v>176</v>
      </c>
      <c r="P3" s="5" t="s">
        <v>177</v>
      </c>
      <c r="Q3" s="5" t="s">
        <v>178</v>
      </c>
      <c r="R3" s="5" t="s">
        <v>179</v>
      </c>
      <c r="S3" s="5" t="s">
        <v>180</v>
      </c>
    </row>
    <row r="4" customFormat="false" ht="15" hidden="false" customHeight="false" outlineLevel="0" collapsed="false">
      <c r="A4" s="10" t="n">
        <v>0</v>
      </c>
      <c r="F4" s="25" t="n">
        <f aca="false">-Resultados!$B$7</f>
        <v>-300414</v>
      </c>
      <c r="J4" s="25" t="n">
        <f aca="false">-Resultados!$B$7</f>
        <v>-300414</v>
      </c>
      <c r="N4" s="25" t="n">
        <f aca="false">-Resultados!$B$7</f>
        <v>-300414</v>
      </c>
      <c r="R4" s="25" t="n">
        <f aca="false">-Resultados!$B$7</f>
        <v>-300414</v>
      </c>
    </row>
    <row r="5" customFormat="false" ht="15" hidden="false" customHeight="false" outlineLevel="0" collapsed="false">
      <c r="A5" s="10" t="n">
        <f aca="false">A4+1</f>
        <v>1</v>
      </c>
      <c r="B5" s="36" t="n">
        <f aca="false">IF(Premissas!$B$9&lt;=1,1,MIN(1,Premissas!$B$8/100+(1-Premissas!$B$8/100)*(A5-1)/(Premissas!$B$9-1)))</f>
        <v>0.45</v>
      </c>
      <c r="C5" s="9" t="n">
        <f aca="false">IF(A5&lt;=Resultados!$B$9,Resultados!$B$10,0)</f>
        <v>0</v>
      </c>
      <c r="D5" s="9" t="n">
        <f aca="false">Resultados!$E$37*$B5-Resultados!$F$37*$B5-Premissas!$B$24-Resultados!$E$37*$B5*(Premissas!$B$14/100)</f>
        <v>4162.15</v>
      </c>
      <c r="E5" s="9" t="n">
        <f aca="false">D5-$C5</f>
        <v>4162.15</v>
      </c>
      <c r="F5" s="9" t="n">
        <f aca="false">F4+E5</f>
        <v>-296251.85</v>
      </c>
      <c r="G5" s="37" t="str">
        <f aca="false">IF(AND(F4&lt;0,F5&gt;=0,A5&lt;=MAX(120,Premissas!$B$15*12)),(A5-1)+(-F4)/E5,"")</f>
        <v/>
      </c>
      <c r="H5" s="9" t="n">
        <f aca="false">Resultados!$E$38*$B5-Resultados!$F$38*$B5-Premissas!$B$24-Resultados!$E$38*$B5*(Premissas!$B$14/100)</f>
        <v>6594.58</v>
      </c>
      <c r="I5" s="9" t="n">
        <f aca="false">H5-$C5</f>
        <v>6594.58</v>
      </c>
      <c r="J5" s="9" t="n">
        <f aca="false">J4+I5</f>
        <v>-293819.42</v>
      </c>
      <c r="K5" s="37" t="str">
        <f aca="false">IF(AND(J4&lt;0,J5&gt;=0,A5&lt;=MAX(120,Premissas!$B$15*12)),(A5-1)+(-J4)/I5,"")</f>
        <v/>
      </c>
      <c r="L5" s="9" t="n">
        <f aca="false">Resultados!$E$39*$B5-Resultados!$F$39*$B5-Premissas!$B$24-Resultados!$E$39*$B5*(Premissas!$B$14/100)</f>
        <v>9027.01</v>
      </c>
      <c r="M5" s="9" t="n">
        <f aca="false">L5-$C5</f>
        <v>9027.01</v>
      </c>
      <c r="N5" s="9" t="n">
        <f aca="false">N4+M5</f>
        <v>-291386.99</v>
      </c>
      <c r="O5" s="37" t="str">
        <f aca="false">IF(AND(N4&lt;0,N5&gt;=0,A5&lt;=MAX(120,Premissas!$B$15*12)),(A5-1)+(-N4)/M5,"")</f>
        <v/>
      </c>
      <c r="P5" s="9" t="n">
        <f aca="false">Resultados!$B$19*$B5-Resultados!$B$20*$B5-Premissas!$B$24-Resultados!$B$19*$B5*(Premissas!$B$14/100)</f>
        <v>6594.58</v>
      </c>
      <c r="Q5" s="9" t="n">
        <f aca="false">P5-$C5</f>
        <v>6594.58</v>
      </c>
      <c r="R5" s="9" t="n">
        <f aca="false">R4+Q5</f>
        <v>-293819.42</v>
      </c>
      <c r="S5" s="37" t="str">
        <f aca="false">IF(AND(R4&lt;0,R5&gt;=0,A5&lt;=MAX(120,Premissas!$B$15*12)),(A5-1)+(-R4)/Q5,"")</f>
        <v/>
      </c>
    </row>
    <row r="6" customFormat="false" ht="15" hidden="false" customHeight="false" outlineLevel="0" collapsed="false">
      <c r="A6" s="10" t="n">
        <f aca="false">A5+1</f>
        <v>2</v>
      </c>
      <c r="B6" s="36" t="n">
        <f aca="false">IF(Premissas!$B$9&lt;=1,1,MIN(1,Premissas!$B$8/100+(1-Premissas!$B$8/100)*(A6-1)/(Premissas!$B$9-1)))</f>
        <v>0.5</v>
      </c>
      <c r="C6" s="9" t="n">
        <f aca="false">IF(A6&lt;=Resultados!$B$9,Resultados!$B$10,0)</f>
        <v>0</v>
      </c>
      <c r="D6" s="9" t="n">
        <f aca="false">Resultados!$E$37*$B6-Resultados!$F$37*$B6-Premissas!$B$24-Resultados!$E$37*$B6*(Premissas!$B$14/100)</f>
        <v>5513.5</v>
      </c>
      <c r="E6" s="9" t="n">
        <f aca="false">D6-$C6</f>
        <v>5513.5</v>
      </c>
      <c r="F6" s="9" t="n">
        <f aca="false">F5+E6</f>
        <v>-290738.35</v>
      </c>
      <c r="G6" s="37" t="str">
        <f aca="false">IF(AND(F5&lt;0,F6&gt;=0,A6&lt;=MAX(120,Premissas!$B$15*12)),(A6-1)+(-F5)/E6,"")</f>
        <v/>
      </c>
      <c r="H6" s="9" t="n">
        <f aca="false">Resultados!$E$38*$B6-Resultados!$F$38*$B6-Premissas!$B$24-Resultados!$E$38*$B6*(Premissas!$B$14/100)</f>
        <v>8216.2</v>
      </c>
      <c r="I6" s="9" t="n">
        <f aca="false">H6-$C6</f>
        <v>8216.2</v>
      </c>
      <c r="J6" s="9" t="n">
        <f aca="false">J5+I6</f>
        <v>-285603.22</v>
      </c>
      <c r="K6" s="37" t="str">
        <f aca="false">IF(AND(J5&lt;0,J6&gt;=0,A6&lt;=MAX(120,Premissas!$B$15*12)),(A6-1)+(-J5)/I6,"")</f>
        <v/>
      </c>
      <c r="L6" s="9" t="n">
        <f aca="false">Resultados!$E$39*$B6-Resultados!$F$39*$B6-Premissas!$B$24-Resultados!$E$39*$B6*(Premissas!$B$14/100)</f>
        <v>10918.9</v>
      </c>
      <c r="M6" s="9" t="n">
        <f aca="false">L6-$C6</f>
        <v>10918.9</v>
      </c>
      <c r="N6" s="9" t="n">
        <f aca="false">N5+M6</f>
        <v>-280468.09</v>
      </c>
      <c r="O6" s="37" t="str">
        <f aca="false">IF(AND(N5&lt;0,N6&gt;=0,A6&lt;=MAX(120,Premissas!$B$15*12)),(A6-1)+(-N5)/M6,"")</f>
        <v/>
      </c>
      <c r="P6" s="9" t="n">
        <f aca="false">Resultados!$B$19*$B6-Resultados!$B$20*$B6-Premissas!$B$24-Resultados!$B$19*$B6*(Premissas!$B$14/100)</f>
        <v>8216.2</v>
      </c>
      <c r="Q6" s="9" t="n">
        <f aca="false">P6-$C6</f>
        <v>8216.2</v>
      </c>
      <c r="R6" s="9" t="n">
        <f aca="false">R5+Q6</f>
        <v>-285603.22</v>
      </c>
      <c r="S6" s="37" t="str">
        <f aca="false">IF(AND(R5&lt;0,R6&gt;=0,A6&lt;=MAX(120,Premissas!$B$15*12)),(A6-1)+(-R5)/Q6,"")</f>
        <v/>
      </c>
    </row>
    <row r="7" customFormat="false" ht="15" hidden="false" customHeight="false" outlineLevel="0" collapsed="false">
      <c r="A7" s="10" t="n">
        <f aca="false">A6+1</f>
        <v>3</v>
      </c>
      <c r="B7" s="36" t="n">
        <f aca="false">IF(Premissas!$B$9&lt;=1,1,MIN(1,Premissas!$B$8/100+(1-Premissas!$B$8/100)*(A7-1)/(Premissas!$B$9-1)))</f>
        <v>0.55</v>
      </c>
      <c r="C7" s="9" t="n">
        <f aca="false">IF(A7&lt;=Resultados!$B$9,Resultados!$B$10,0)</f>
        <v>0</v>
      </c>
      <c r="D7" s="9" t="n">
        <f aca="false">Resultados!$E$37*$B7-Resultados!$F$37*$B7-Premissas!$B$24-Resultados!$E$37*$B7*(Premissas!$B$14/100)</f>
        <v>6864.85</v>
      </c>
      <c r="E7" s="9" t="n">
        <f aca="false">D7-$C7</f>
        <v>6864.85</v>
      </c>
      <c r="F7" s="9" t="n">
        <f aca="false">F6+E7</f>
        <v>-283873.5</v>
      </c>
      <c r="G7" s="37" t="str">
        <f aca="false">IF(AND(F6&lt;0,F7&gt;=0,A7&lt;=MAX(120,Premissas!$B$15*12)),(A7-1)+(-F6)/E7,"")</f>
        <v/>
      </c>
      <c r="H7" s="9" t="n">
        <f aca="false">Resultados!$E$38*$B7-Resultados!$F$38*$B7-Premissas!$B$24-Resultados!$E$38*$B7*(Premissas!$B$14/100)</f>
        <v>9837.82</v>
      </c>
      <c r="I7" s="9" t="n">
        <f aca="false">H7-$C7</f>
        <v>9837.82</v>
      </c>
      <c r="J7" s="9" t="n">
        <f aca="false">J6+I7</f>
        <v>-275765.4</v>
      </c>
      <c r="K7" s="37" t="str">
        <f aca="false">IF(AND(J6&lt;0,J7&gt;=0,A7&lt;=MAX(120,Premissas!$B$15*12)),(A7-1)+(-J6)/I7,"")</f>
        <v/>
      </c>
      <c r="L7" s="9" t="n">
        <f aca="false">Resultados!$E$39*$B7-Resultados!$F$39*$B7-Premissas!$B$24-Resultados!$E$39*$B7*(Premissas!$B$14/100)</f>
        <v>12810.79</v>
      </c>
      <c r="M7" s="9" t="n">
        <f aca="false">L7-$C7</f>
        <v>12810.79</v>
      </c>
      <c r="N7" s="9" t="n">
        <f aca="false">N6+M7</f>
        <v>-267657.3</v>
      </c>
      <c r="O7" s="37" t="str">
        <f aca="false">IF(AND(N6&lt;0,N7&gt;=0,A7&lt;=MAX(120,Premissas!$B$15*12)),(A7-1)+(-N6)/M7,"")</f>
        <v/>
      </c>
      <c r="P7" s="9" t="n">
        <f aca="false">Resultados!$B$19*$B7-Resultados!$B$20*$B7-Premissas!$B$24-Resultados!$B$19*$B7*(Premissas!$B$14/100)</f>
        <v>9837.82</v>
      </c>
      <c r="Q7" s="9" t="n">
        <f aca="false">P7-$C7</f>
        <v>9837.82</v>
      </c>
      <c r="R7" s="9" t="n">
        <f aca="false">R6+Q7</f>
        <v>-275765.4</v>
      </c>
      <c r="S7" s="37" t="str">
        <f aca="false">IF(AND(R6&lt;0,R7&gt;=0,A7&lt;=MAX(120,Premissas!$B$15*12)),(A7-1)+(-R6)/Q7,"")</f>
        <v/>
      </c>
    </row>
    <row r="8" customFormat="false" ht="15" hidden="false" customHeight="false" outlineLevel="0" collapsed="false">
      <c r="A8" s="10" t="n">
        <f aca="false">A7+1</f>
        <v>4</v>
      </c>
      <c r="B8" s="36" t="n">
        <f aca="false">IF(Premissas!$B$9&lt;=1,1,MIN(1,Premissas!$B$8/100+(1-Premissas!$B$8/100)*(A8-1)/(Premissas!$B$9-1)))</f>
        <v>0.6</v>
      </c>
      <c r="C8" s="9" t="n">
        <f aca="false">IF(A8&lt;=Resultados!$B$9,Resultados!$B$10,0)</f>
        <v>0</v>
      </c>
      <c r="D8" s="9" t="n">
        <f aca="false">Resultados!$E$37*$B8-Resultados!$F$37*$B8-Premissas!$B$24-Resultados!$E$37*$B8*(Premissas!$B$14/100)</f>
        <v>8216.2</v>
      </c>
      <c r="E8" s="9" t="n">
        <f aca="false">D8-$C8</f>
        <v>8216.2</v>
      </c>
      <c r="F8" s="9" t="n">
        <f aca="false">F7+E8</f>
        <v>-275657.3</v>
      </c>
      <c r="G8" s="37" t="str">
        <f aca="false">IF(AND(F7&lt;0,F8&gt;=0,A8&lt;=MAX(120,Premissas!$B$15*12)),(A8-1)+(-F7)/E8,"")</f>
        <v/>
      </c>
      <c r="H8" s="9" t="n">
        <f aca="false">Resultados!$E$38*$B8-Resultados!$F$38*$B8-Premissas!$B$24-Resultados!$E$38*$B8*(Premissas!$B$14/100)</f>
        <v>11459.44</v>
      </c>
      <c r="I8" s="9" t="n">
        <f aca="false">H8-$C8</f>
        <v>11459.44</v>
      </c>
      <c r="J8" s="9" t="n">
        <f aca="false">J7+I8</f>
        <v>-264305.96</v>
      </c>
      <c r="K8" s="37" t="str">
        <f aca="false">IF(AND(J7&lt;0,J8&gt;=0,A8&lt;=MAX(120,Premissas!$B$15*12)),(A8-1)+(-J7)/I8,"")</f>
        <v/>
      </c>
      <c r="L8" s="9" t="n">
        <f aca="false">Resultados!$E$39*$B8-Resultados!$F$39*$B8-Premissas!$B$24-Resultados!$E$39*$B8*(Premissas!$B$14/100)</f>
        <v>14702.68</v>
      </c>
      <c r="M8" s="9" t="n">
        <f aca="false">L8-$C8</f>
        <v>14702.68</v>
      </c>
      <c r="N8" s="9" t="n">
        <f aca="false">N7+M8</f>
        <v>-252954.62</v>
      </c>
      <c r="O8" s="37" t="str">
        <f aca="false">IF(AND(N7&lt;0,N8&gt;=0,A8&lt;=MAX(120,Premissas!$B$15*12)),(A8-1)+(-N7)/M8,"")</f>
        <v/>
      </c>
      <c r="P8" s="9" t="n">
        <f aca="false">Resultados!$B$19*$B8-Resultados!$B$20*$B8-Premissas!$B$24-Resultados!$B$19*$B8*(Premissas!$B$14/100)</f>
        <v>11459.44</v>
      </c>
      <c r="Q8" s="9" t="n">
        <f aca="false">P8-$C8</f>
        <v>11459.44</v>
      </c>
      <c r="R8" s="9" t="n">
        <f aca="false">R7+Q8</f>
        <v>-264305.96</v>
      </c>
      <c r="S8" s="37" t="str">
        <f aca="false">IF(AND(R7&lt;0,R8&gt;=0,A8&lt;=MAX(120,Premissas!$B$15*12)),(A8-1)+(-R7)/Q8,"")</f>
        <v/>
      </c>
    </row>
    <row r="9" customFormat="false" ht="15" hidden="false" customHeight="false" outlineLevel="0" collapsed="false">
      <c r="A9" s="10" t="n">
        <f aca="false">A8+1</f>
        <v>5</v>
      </c>
      <c r="B9" s="36" t="n">
        <f aca="false">IF(Premissas!$B$9&lt;=1,1,MIN(1,Premissas!$B$8/100+(1-Premissas!$B$8/100)*(A9-1)/(Premissas!$B$9-1)))</f>
        <v>0.65</v>
      </c>
      <c r="C9" s="9" t="n">
        <f aca="false">IF(A9&lt;=Resultados!$B$9,Resultados!$B$10,0)</f>
        <v>0</v>
      </c>
      <c r="D9" s="9" t="n">
        <f aca="false">Resultados!$E$37*$B9-Resultados!$F$37*$B9-Premissas!$B$24-Resultados!$E$37*$B9*(Premissas!$B$14/100)</f>
        <v>9567.55</v>
      </c>
      <c r="E9" s="9" t="n">
        <f aca="false">D9-$C9</f>
        <v>9567.55</v>
      </c>
      <c r="F9" s="9" t="n">
        <f aca="false">F8+E9</f>
        <v>-266089.75</v>
      </c>
      <c r="G9" s="37" t="str">
        <f aca="false">IF(AND(F8&lt;0,F9&gt;=0,A9&lt;=MAX(120,Premissas!$B$15*12)),(A9-1)+(-F8)/E9,"")</f>
        <v/>
      </c>
      <c r="H9" s="9" t="n">
        <f aca="false">Resultados!$E$38*$B9-Resultados!$F$38*$B9-Premissas!$B$24-Resultados!$E$38*$B9*(Premissas!$B$14/100)</f>
        <v>13081.06</v>
      </c>
      <c r="I9" s="9" t="n">
        <f aca="false">H9-$C9</f>
        <v>13081.06</v>
      </c>
      <c r="J9" s="9" t="n">
        <f aca="false">J8+I9</f>
        <v>-251224.9</v>
      </c>
      <c r="K9" s="37" t="str">
        <f aca="false">IF(AND(J8&lt;0,J9&gt;=0,A9&lt;=MAX(120,Premissas!$B$15*12)),(A9-1)+(-J8)/I9,"")</f>
        <v/>
      </c>
      <c r="L9" s="9" t="n">
        <f aca="false">Resultados!$E$39*$B9-Resultados!$F$39*$B9-Premissas!$B$24-Resultados!$E$39*$B9*(Premissas!$B$14/100)</f>
        <v>16594.57</v>
      </c>
      <c r="M9" s="9" t="n">
        <f aca="false">L9-$C9</f>
        <v>16594.57</v>
      </c>
      <c r="N9" s="9" t="n">
        <f aca="false">N8+M9</f>
        <v>-236360.05</v>
      </c>
      <c r="O9" s="37" t="str">
        <f aca="false">IF(AND(N8&lt;0,N9&gt;=0,A9&lt;=MAX(120,Premissas!$B$15*12)),(A9-1)+(-N8)/M9,"")</f>
        <v/>
      </c>
      <c r="P9" s="9" t="n">
        <f aca="false">Resultados!$B$19*$B9-Resultados!$B$20*$B9-Premissas!$B$24-Resultados!$B$19*$B9*(Premissas!$B$14/100)</f>
        <v>13081.06</v>
      </c>
      <c r="Q9" s="9" t="n">
        <f aca="false">P9-$C9</f>
        <v>13081.06</v>
      </c>
      <c r="R9" s="9" t="n">
        <f aca="false">R8+Q9</f>
        <v>-251224.9</v>
      </c>
      <c r="S9" s="37" t="str">
        <f aca="false">IF(AND(R8&lt;0,R9&gt;=0,A9&lt;=MAX(120,Premissas!$B$15*12)),(A9-1)+(-R8)/Q9,"")</f>
        <v/>
      </c>
    </row>
    <row r="10" customFormat="false" ht="15" hidden="false" customHeight="false" outlineLevel="0" collapsed="false">
      <c r="A10" s="10" t="n">
        <f aca="false">A9+1</f>
        <v>6</v>
      </c>
      <c r="B10" s="36" t="n">
        <f aca="false">IF(Premissas!$B$9&lt;=1,1,MIN(1,Premissas!$B$8/100+(1-Premissas!$B$8/100)*(A10-1)/(Premissas!$B$9-1)))</f>
        <v>0.7</v>
      </c>
      <c r="C10" s="9" t="n">
        <f aca="false">IF(A10&lt;=Resultados!$B$9,Resultados!$B$10,0)</f>
        <v>0</v>
      </c>
      <c r="D10" s="9" t="n">
        <f aca="false">Resultados!$E$37*$B10-Resultados!$F$37*$B10-Premissas!$B$24-Resultados!$E$37*$B10*(Premissas!$B$14/100)</f>
        <v>10918.9</v>
      </c>
      <c r="E10" s="9" t="n">
        <f aca="false">D10-$C10</f>
        <v>10918.9</v>
      </c>
      <c r="F10" s="9" t="n">
        <f aca="false">F9+E10</f>
        <v>-255170.85</v>
      </c>
      <c r="G10" s="37" t="str">
        <f aca="false">IF(AND(F9&lt;0,F10&gt;=0,A10&lt;=MAX(120,Premissas!$B$15*12)),(A10-1)+(-F9)/E10,"")</f>
        <v/>
      </c>
      <c r="H10" s="9" t="n">
        <f aca="false">Resultados!$E$38*$B10-Resultados!$F$38*$B10-Premissas!$B$24-Resultados!$E$38*$B10*(Premissas!$B$14/100)</f>
        <v>14702.68</v>
      </c>
      <c r="I10" s="9" t="n">
        <f aca="false">H10-$C10</f>
        <v>14702.68</v>
      </c>
      <c r="J10" s="9" t="n">
        <f aca="false">J9+I10</f>
        <v>-236522.22</v>
      </c>
      <c r="K10" s="37" t="str">
        <f aca="false">IF(AND(J9&lt;0,J10&gt;=0,A10&lt;=MAX(120,Premissas!$B$15*12)),(A10-1)+(-J9)/I10,"")</f>
        <v/>
      </c>
      <c r="L10" s="9" t="n">
        <f aca="false">Resultados!$E$39*$B10-Resultados!$F$39*$B10-Premissas!$B$24-Resultados!$E$39*$B10*(Premissas!$B$14/100)</f>
        <v>18486.46</v>
      </c>
      <c r="M10" s="9" t="n">
        <f aca="false">L10-$C10</f>
        <v>18486.46</v>
      </c>
      <c r="N10" s="9" t="n">
        <f aca="false">N9+M10</f>
        <v>-217873.59</v>
      </c>
      <c r="O10" s="37" t="str">
        <f aca="false">IF(AND(N9&lt;0,N10&gt;=0,A10&lt;=MAX(120,Premissas!$B$15*12)),(A10-1)+(-N9)/M10,"")</f>
        <v/>
      </c>
      <c r="P10" s="9" t="n">
        <f aca="false">Resultados!$B$19*$B10-Resultados!$B$20*$B10-Premissas!$B$24-Resultados!$B$19*$B10*(Premissas!$B$14/100)</f>
        <v>14702.68</v>
      </c>
      <c r="Q10" s="9" t="n">
        <f aca="false">P10-$C10</f>
        <v>14702.68</v>
      </c>
      <c r="R10" s="9" t="n">
        <f aca="false">R9+Q10</f>
        <v>-236522.22</v>
      </c>
      <c r="S10" s="37" t="str">
        <f aca="false">IF(AND(R9&lt;0,R10&gt;=0,A10&lt;=MAX(120,Premissas!$B$15*12)),(A10-1)+(-R9)/Q10,"")</f>
        <v/>
      </c>
    </row>
    <row r="11" customFormat="false" ht="15" hidden="false" customHeight="false" outlineLevel="0" collapsed="false">
      <c r="A11" s="10" t="n">
        <f aca="false">A10+1</f>
        <v>7</v>
      </c>
      <c r="B11" s="36" t="n">
        <f aca="false">IF(Premissas!$B$9&lt;=1,1,MIN(1,Premissas!$B$8/100+(1-Premissas!$B$8/100)*(A11-1)/(Premissas!$B$9-1)))</f>
        <v>0.75</v>
      </c>
      <c r="C11" s="9" t="n">
        <f aca="false">IF(A11&lt;=Resultados!$B$9,Resultados!$B$10,0)</f>
        <v>0</v>
      </c>
      <c r="D11" s="9" t="n">
        <f aca="false">Resultados!$E$37*$B11-Resultados!$F$37*$B11-Premissas!$B$24-Resultados!$E$37*$B11*(Premissas!$B$14/100)</f>
        <v>12270.25</v>
      </c>
      <c r="E11" s="9" t="n">
        <f aca="false">D11-$C11</f>
        <v>12270.25</v>
      </c>
      <c r="F11" s="9" t="n">
        <f aca="false">F10+E11</f>
        <v>-242900.6</v>
      </c>
      <c r="G11" s="37" t="str">
        <f aca="false">IF(AND(F10&lt;0,F11&gt;=0,A11&lt;=MAX(120,Premissas!$B$15*12)),(A11-1)+(-F10)/E11,"")</f>
        <v/>
      </c>
      <c r="H11" s="9" t="n">
        <f aca="false">Resultados!$E$38*$B11-Resultados!$F$38*$B11-Premissas!$B$24-Resultados!$E$38*$B11*(Premissas!$B$14/100)</f>
        <v>16324.3</v>
      </c>
      <c r="I11" s="9" t="n">
        <f aca="false">H11-$C11</f>
        <v>16324.3</v>
      </c>
      <c r="J11" s="9" t="n">
        <f aca="false">J10+I11</f>
        <v>-220197.92</v>
      </c>
      <c r="K11" s="37" t="str">
        <f aca="false">IF(AND(J10&lt;0,J11&gt;=0,A11&lt;=MAX(120,Premissas!$B$15*12)),(A11-1)+(-J10)/I11,"")</f>
        <v/>
      </c>
      <c r="L11" s="9" t="n">
        <f aca="false">Resultados!$E$39*$B11-Resultados!$F$39*$B11-Premissas!$B$24-Resultados!$E$39*$B11*(Premissas!$B$14/100)</f>
        <v>20378.35</v>
      </c>
      <c r="M11" s="9" t="n">
        <f aca="false">L11-$C11</f>
        <v>20378.35</v>
      </c>
      <c r="N11" s="9" t="n">
        <f aca="false">N10+M11</f>
        <v>-197495.24</v>
      </c>
      <c r="O11" s="37" t="str">
        <f aca="false">IF(AND(N10&lt;0,N11&gt;=0,A11&lt;=MAX(120,Premissas!$B$15*12)),(A11-1)+(-N10)/M11,"")</f>
        <v/>
      </c>
      <c r="P11" s="9" t="n">
        <f aca="false">Resultados!$B$19*$B11-Resultados!$B$20*$B11-Premissas!$B$24-Resultados!$B$19*$B11*(Premissas!$B$14/100)</f>
        <v>16324.3</v>
      </c>
      <c r="Q11" s="9" t="n">
        <f aca="false">P11-$C11</f>
        <v>16324.3</v>
      </c>
      <c r="R11" s="9" t="n">
        <f aca="false">R10+Q11</f>
        <v>-220197.92</v>
      </c>
      <c r="S11" s="37" t="str">
        <f aca="false">IF(AND(R10&lt;0,R11&gt;=0,A11&lt;=MAX(120,Premissas!$B$15*12)),(A11-1)+(-R10)/Q11,"")</f>
        <v/>
      </c>
    </row>
    <row r="12" customFormat="false" ht="15" hidden="false" customHeight="false" outlineLevel="0" collapsed="false">
      <c r="A12" s="10" t="n">
        <f aca="false">A11+1</f>
        <v>8</v>
      </c>
      <c r="B12" s="36" t="n">
        <f aca="false">IF(Premissas!$B$9&lt;=1,1,MIN(1,Premissas!$B$8/100+(1-Premissas!$B$8/100)*(A12-1)/(Premissas!$B$9-1)))</f>
        <v>0.8</v>
      </c>
      <c r="C12" s="9" t="n">
        <f aca="false">IF(A12&lt;=Resultados!$B$9,Resultados!$B$10,0)</f>
        <v>0</v>
      </c>
      <c r="D12" s="9" t="n">
        <f aca="false">Resultados!$E$37*$B12-Resultados!$F$37*$B12-Premissas!$B$24-Resultados!$E$37*$B12*(Premissas!$B$14/100)</f>
        <v>13621.6</v>
      </c>
      <c r="E12" s="9" t="n">
        <f aca="false">D12-$C12</f>
        <v>13621.6</v>
      </c>
      <c r="F12" s="9" t="n">
        <f aca="false">F11+E12</f>
        <v>-229279</v>
      </c>
      <c r="G12" s="37" t="str">
        <f aca="false">IF(AND(F11&lt;0,F12&gt;=0,A12&lt;=MAX(120,Premissas!$B$15*12)),(A12-1)+(-F11)/E12,"")</f>
        <v/>
      </c>
      <c r="H12" s="9" t="n">
        <f aca="false">Resultados!$E$38*$B12-Resultados!$F$38*$B12-Premissas!$B$24-Resultados!$E$38*$B12*(Premissas!$B$14/100)</f>
        <v>17945.92</v>
      </c>
      <c r="I12" s="9" t="n">
        <f aca="false">H12-$C12</f>
        <v>17945.92</v>
      </c>
      <c r="J12" s="9" t="n">
        <f aca="false">J11+I12</f>
        <v>-202252</v>
      </c>
      <c r="K12" s="37" t="str">
        <f aca="false">IF(AND(J11&lt;0,J12&gt;=0,A12&lt;=MAX(120,Premissas!$B$15*12)),(A12-1)+(-J11)/I12,"")</f>
        <v/>
      </c>
      <c r="L12" s="9" t="n">
        <f aca="false">Resultados!$E$39*$B12-Resultados!$F$39*$B12-Premissas!$B$24-Resultados!$E$39*$B12*(Premissas!$B$14/100)</f>
        <v>22270.24</v>
      </c>
      <c r="M12" s="9" t="n">
        <f aca="false">L12-$C12</f>
        <v>22270.24</v>
      </c>
      <c r="N12" s="9" t="n">
        <f aca="false">N11+M12</f>
        <v>-175225</v>
      </c>
      <c r="O12" s="37" t="str">
        <f aca="false">IF(AND(N11&lt;0,N12&gt;=0,A12&lt;=MAX(120,Premissas!$B$15*12)),(A12-1)+(-N11)/M12,"")</f>
        <v/>
      </c>
      <c r="P12" s="9" t="n">
        <f aca="false">Resultados!$B$19*$B12-Resultados!$B$20*$B12-Premissas!$B$24-Resultados!$B$19*$B12*(Premissas!$B$14/100)</f>
        <v>17945.92</v>
      </c>
      <c r="Q12" s="9" t="n">
        <f aca="false">P12-$C12</f>
        <v>17945.92</v>
      </c>
      <c r="R12" s="9" t="n">
        <f aca="false">R11+Q12</f>
        <v>-202252</v>
      </c>
      <c r="S12" s="37" t="str">
        <f aca="false">IF(AND(R11&lt;0,R12&gt;=0,A12&lt;=MAX(120,Premissas!$B$15*12)),(A12-1)+(-R11)/Q12,"")</f>
        <v/>
      </c>
    </row>
    <row r="13" customFormat="false" ht="15" hidden="false" customHeight="false" outlineLevel="0" collapsed="false">
      <c r="A13" s="10" t="n">
        <f aca="false">A12+1</f>
        <v>9</v>
      </c>
      <c r="B13" s="36" t="n">
        <f aca="false">IF(Premissas!$B$9&lt;=1,1,MIN(1,Premissas!$B$8/100+(1-Premissas!$B$8/100)*(A13-1)/(Premissas!$B$9-1)))</f>
        <v>0.85</v>
      </c>
      <c r="C13" s="9" t="n">
        <f aca="false">IF(A13&lt;=Resultados!$B$9,Resultados!$B$10,0)</f>
        <v>0</v>
      </c>
      <c r="D13" s="9" t="n">
        <f aca="false">Resultados!$E$37*$B13-Resultados!$F$37*$B13-Premissas!$B$24-Resultados!$E$37*$B13*(Premissas!$B$14/100)</f>
        <v>14972.95</v>
      </c>
      <c r="E13" s="9" t="n">
        <f aca="false">D13-$C13</f>
        <v>14972.95</v>
      </c>
      <c r="F13" s="9" t="n">
        <f aca="false">F12+E13</f>
        <v>-214306.05</v>
      </c>
      <c r="G13" s="37" t="str">
        <f aca="false">IF(AND(F12&lt;0,F13&gt;=0,A13&lt;=MAX(120,Premissas!$B$15*12)),(A13-1)+(-F12)/E13,"")</f>
        <v/>
      </c>
      <c r="H13" s="9" t="n">
        <f aca="false">Resultados!$E$38*$B13-Resultados!$F$38*$B13-Premissas!$B$24-Resultados!$E$38*$B13*(Premissas!$B$14/100)</f>
        <v>19567.54</v>
      </c>
      <c r="I13" s="9" t="n">
        <f aca="false">H13-$C13</f>
        <v>19567.54</v>
      </c>
      <c r="J13" s="9" t="n">
        <f aca="false">J12+I13</f>
        <v>-182684.46</v>
      </c>
      <c r="K13" s="37" t="str">
        <f aca="false">IF(AND(J12&lt;0,J13&gt;=0,A13&lt;=MAX(120,Premissas!$B$15*12)),(A13-1)+(-J12)/I13,"")</f>
        <v/>
      </c>
      <c r="L13" s="9" t="n">
        <f aca="false">Resultados!$E$39*$B13-Resultados!$F$39*$B13-Premissas!$B$24-Resultados!$E$39*$B13*(Premissas!$B$14/100)</f>
        <v>24162.13</v>
      </c>
      <c r="M13" s="9" t="n">
        <f aca="false">L13-$C13</f>
        <v>24162.13</v>
      </c>
      <c r="N13" s="9" t="n">
        <f aca="false">N12+M13</f>
        <v>-151062.87</v>
      </c>
      <c r="O13" s="37" t="str">
        <f aca="false">IF(AND(N12&lt;0,N13&gt;=0,A13&lt;=MAX(120,Premissas!$B$15*12)),(A13-1)+(-N12)/M13,"")</f>
        <v/>
      </c>
      <c r="P13" s="9" t="n">
        <f aca="false">Resultados!$B$19*$B13-Resultados!$B$20*$B13-Premissas!$B$24-Resultados!$B$19*$B13*(Premissas!$B$14/100)</f>
        <v>19567.54</v>
      </c>
      <c r="Q13" s="9" t="n">
        <f aca="false">P13-$C13</f>
        <v>19567.54</v>
      </c>
      <c r="R13" s="9" t="n">
        <f aca="false">R12+Q13</f>
        <v>-182684.46</v>
      </c>
      <c r="S13" s="37" t="str">
        <f aca="false">IF(AND(R12&lt;0,R13&gt;=0,A13&lt;=MAX(120,Premissas!$B$15*12)),(A13-1)+(-R12)/Q13,"")</f>
        <v/>
      </c>
    </row>
    <row r="14" customFormat="false" ht="15" hidden="false" customHeight="false" outlineLevel="0" collapsed="false">
      <c r="A14" s="10" t="n">
        <f aca="false">A13+1</f>
        <v>10</v>
      </c>
      <c r="B14" s="36" t="n">
        <f aca="false">IF(Premissas!$B$9&lt;=1,1,MIN(1,Premissas!$B$8/100+(1-Premissas!$B$8/100)*(A14-1)/(Premissas!$B$9-1)))</f>
        <v>0.9</v>
      </c>
      <c r="C14" s="9" t="n">
        <f aca="false">IF(A14&lt;=Resultados!$B$9,Resultados!$B$10,0)</f>
        <v>0</v>
      </c>
      <c r="D14" s="9" t="n">
        <f aca="false">Resultados!$E$37*$B14-Resultados!$F$37*$B14-Premissas!$B$24-Resultados!$E$37*$B14*(Premissas!$B$14/100)</f>
        <v>16324.3</v>
      </c>
      <c r="E14" s="9" t="n">
        <f aca="false">D14-$C14</f>
        <v>16324.3</v>
      </c>
      <c r="F14" s="9" t="n">
        <f aca="false">F13+E14</f>
        <v>-197981.75</v>
      </c>
      <c r="G14" s="37" t="str">
        <f aca="false">IF(AND(F13&lt;0,F14&gt;=0,A14&lt;=MAX(120,Premissas!$B$15*12)),(A14-1)+(-F13)/E14,"")</f>
        <v/>
      </c>
      <c r="H14" s="9" t="n">
        <f aca="false">Resultados!$E$38*$B14-Resultados!$F$38*$B14-Premissas!$B$24-Resultados!$E$38*$B14*(Premissas!$B$14/100)</f>
        <v>21189.16</v>
      </c>
      <c r="I14" s="9" t="n">
        <f aca="false">H14-$C14</f>
        <v>21189.16</v>
      </c>
      <c r="J14" s="9" t="n">
        <f aca="false">J13+I14</f>
        <v>-161495.3</v>
      </c>
      <c r="K14" s="37" t="str">
        <f aca="false">IF(AND(J13&lt;0,J14&gt;=0,A14&lt;=MAX(120,Premissas!$B$15*12)),(A14-1)+(-J13)/I14,"")</f>
        <v/>
      </c>
      <c r="L14" s="9" t="n">
        <f aca="false">Resultados!$E$39*$B14-Resultados!$F$39*$B14-Premissas!$B$24-Resultados!$E$39*$B14*(Premissas!$B$14/100)</f>
        <v>26054.02</v>
      </c>
      <c r="M14" s="9" t="n">
        <f aca="false">L14-$C14</f>
        <v>26054.02</v>
      </c>
      <c r="N14" s="9" t="n">
        <f aca="false">N13+M14</f>
        <v>-125008.85</v>
      </c>
      <c r="O14" s="37" t="str">
        <f aca="false">IF(AND(N13&lt;0,N14&gt;=0,A14&lt;=MAX(120,Premissas!$B$15*12)),(A14-1)+(-N13)/M14,"")</f>
        <v/>
      </c>
      <c r="P14" s="9" t="n">
        <f aca="false">Resultados!$B$19*$B14-Resultados!$B$20*$B14-Premissas!$B$24-Resultados!$B$19*$B14*(Premissas!$B$14/100)</f>
        <v>21189.16</v>
      </c>
      <c r="Q14" s="9" t="n">
        <f aca="false">P14-$C14</f>
        <v>21189.16</v>
      </c>
      <c r="R14" s="9" t="n">
        <f aca="false">R13+Q14</f>
        <v>-161495.3</v>
      </c>
      <c r="S14" s="37" t="str">
        <f aca="false">IF(AND(R13&lt;0,R14&gt;=0,A14&lt;=MAX(120,Premissas!$B$15*12)),(A14-1)+(-R13)/Q14,"")</f>
        <v/>
      </c>
    </row>
    <row r="15" customFormat="false" ht="15" hidden="false" customHeight="false" outlineLevel="0" collapsed="false">
      <c r="A15" s="10" t="n">
        <f aca="false">A14+1</f>
        <v>11</v>
      </c>
      <c r="B15" s="36" t="n">
        <f aca="false">IF(Premissas!$B$9&lt;=1,1,MIN(1,Premissas!$B$8/100+(1-Premissas!$B$8/100)*(A15-1)/(Premissas!$B$9-1)))</f>
        <v>0.95</v>
      </c>
      <c r="C15" s="9" t="n">
        <f aca="false">IF(A15&lt;=Resultados!$B$9,Resultados!$B$10,0)</f>
        <v>0</v>
      </c>
      <c r="D15" s="9" t="n">
        <f aca="false">Resultados!$E$37*$B15-Resultados!$F$37*$B15-Premissas!$B$24-Resultados!$E$37*$B15*(Premissas!$B$14/100)</f>
        <v>17675.65</v>
      </c>
      <c r="E15" s="9" t="n">
        <f aca="false">D15-$C15</f>
        <v>17675.65</v>
      </c>
      <c r="F15" s="9" t="n">
        <f aca="false">F14+E15</f>
        <v>-180306.1</v>
      </c>
      <c r="G15" s="37" t="str">
        <f aca="false">IF(AND(F14&lt;0,F15&gt;=0,A15&lt;=MAX(120,Premissas!$B$15*12)),(A15-1)+(-F14)/E15,"")</f>
        <v/>
      </c>
      <c r="H15" s="9" t="n">
        <f aca="false">Resultados!$E$38*$B15-Resultados!$F$38*$B15-Premissas!$B$24-Resultados!$E$38*$B15*(Premissas!$B$14/100)</f>
        <v>22810.78</v>
      </c>
      <c r="I15" s="9" t="n">
        <f aca="false">H15-$C15</f>
        <v>22810.78</v>
      </c>
      <c r="J15" s="9" t="n">
        <f aca="false">J14+I15</f>
        <v>-138684.52</v>
      </c>
      <c r="K15" s="37" t="str">
        <f aca="false">IF(AND(J14&lt;0,J15&gt;=0,A15&lt;=MAX(120,Premissas!$B$15*12)),(A15-1)+(-J14)/I15,"")</f>
        <v/>
      </c>
      <c r="L15" s="9" t="n">
        <f aca="false">Resultados!$E$39*$B15-Resultados!$F$39*$B15-Premissas!$B$24-Resultados!$E$39*$B15*(Premissas!$B$14/100)</f>
        <v>27945.91</v>
      </c>
      <c r="M15" s="9" t="n">
        <f aca="false">L15-$C15</f>
        <v>27945.91</v>
      </c>
      <c r="N15" s="9" t="n">
        <f aca="false">N14+M15</f>
        <v>-97062.94</v>
      </c>
      <c r="O15" s="37" t="str">
        <f aca="false">IF(AND(N14&lt;0,N15&gt;=0,A15&lt;=MAX(120,Premissas!$B$15*12)),(A15-1)+(-N14)/M15,"")</f>
        <v/>
      </c>
      <c r="P15" s="9" t="n">
        <f aca="false">Resultados!$B$19*$B15-Resultados!$B$20*$B15-Premissas!$B$24-Resultados!$B$19*$B15*(Premissas!$B$14/100)</f>
        <v>22810.78</v>
      </c>
      <c r="Q15" s="9" t="n">
        <f aca="false">P15-$C15</f>
        <v>22810.78</v>
      </c>
      <c r="R15" s="9" t="n">
        <f aca="false">R14+Q15</f>
        <v>-138684.52</v>
      </c>
      <c r="S15" s="37" t="str">
        <f aca="false">IF(AND(R14&lt;0,R15&gt;=0,A15&lt;=MAX(120,Premissas!$B$15*12)),(A15-1)+(-R14)/Q15,"")</f>
        <v/>
      </c>
    </row>
    <row r="16" customFormat="false" ht="15" hidden="false" customHeight="false" outlineLevel="0" collapsed="false">
      <c r="A16" s="10" t="n">
        <f aca="false">A15+1</f>
        <v>12</v>
      </c>
      <c r="B16" s="36" t="n">
        <f aca="false">IF(Premissas!$B$9&lt;=1,1,MIN(1,Premissas!$B$8/100+(1-Premissas!$B$8/100)*(A16-1)/(Premissas!$B$9-1)))</f>
        <v>1</v>
      </c>
      <c r="C16" s="9" t="n">
        <f aca="false">IF(A16&lt;=Resultados!$B$9,Resultados!$B$10,0)</f>
        <v>0</v>
      </c>
      <c r="D16" s="9" t="n">
        <f aca="false">Resultados!$E$37*$B16-Resultados!$F$37*$B16-Premissas!$B$24-Resultados!$E$37*$B16*(Premissas!$B$14/100)</f>
        <v>19027</v>
      </c>
      <c r="E16" s="9" t="n">
        <f aca="false">D16-$C16</f>
        <v>19027</v>
      </c>
      <c r="F16" s="9" t="n">
        <f aca="false">F15+E16</f>
        <v>-161279.1</v>
      </c>
      <c r="G16" s="37" t="str">
        <f aca="false">IF(AND(F15&lt;0,F16&gt;=0,A16&lt;=MAX(120,Premissas!$B$15*12)),(A16-1)+(-F15)/E16,"")</f>
        <v/>
      </c>
      <c r="H16" s="9" t="n">
        <f aca="false">Resultados!$E$38*$B16-Resultados!$F$38*$B16-Premissas!$B$24-Resultados!$E$38*$B16*(Premissas!$B$14/100)</f>
        <v>24432.4</v>
      </c>
      <c r="I16" s="9" t="n">
        <f aca="false">H16-$C16</f>
        <v>24432.4</v>
      </c>
      <c r="J16" s="9" t="n">
        <f aca="false">J15+I16</f>
        <v>-114252.12</v>
      </c>
      <c r="K16" s="37" t="str">
        <f aca="false">IF(AND(J15&lt;0,J16&gt;=0,A16&lt;=MAX(120,Premissas!$B$15*12)),(A16-1)+(-J15)/I16,"")</f>
        <v/>
      </c>
      <c r="L16" s="9" t="n">
        <f aca="false">Resultados!$E$39*$B16-Resultados!$F$39*$B16-Premissas!$B$24-Resultados!$E$39*$B16*(Premissas!$B$14/100)</f>
        <v>29837.8</v>
      </c>
      <c r="M16" s="9" t="n">
        <f aca="false">L16-$C16</f>
        <v>29837.8</v>
      </c>
      <c r="N16" s="9" t="n">
        <f aca="false">N15+M16</f>
        <v>-67225.14</v>
      </c>
      <c r="O16" s="37" t="str">
        <f aca="false">IF(AND(N15&lt;0,N16&gt;=0,A16&lt;=MAX(120,Premissas!$B$15*12)),(A16-1)+(-N15)/M16,"")</f>
        <v/>
      </c>
      <c r="P16" s="9" t="n">
        <f aca="false">Resultados!$B$19*$B16-Resultados!$B$20*$B16-Premissas!$B$24-Resultados!$B$19*$B16*(Premissas!$B$14/100)</f>
        <v>24432.4</v>
      </c>
      <c r="Q16" s="9" t="n">
        <f aca="false">P16-$C16</f>
        <v>24432.4</v>
      </c>
      <c r="R16" s="9" t="n">
        <f aca="false">R15+Q16</f>
        <v>-114252.12</v>
      </c>
      <c r="S16" s="37" t="str">
        <f aca="false">IF(AND(R15&lt;0,R16&gt;=0,A16&lt;=MAX(120,Premissas!$B$15*12)),(A16-1)+(-R15)/Q16,"")</f>
        <v/>
      </c>
    </row>
    <row r="17" customFormat="false" ht="15" hidden="false" customHeight="false" outlineLevel="0" collapsed="false">
      <c r="A17" s="10" t="n">
        <f aca="false">A16+1</f>
        <v>13</v>
      </c>
      <c r="B17" s="36" t="n">
        <f aca="false">IF(Premissas!$B$9&lt;=1,1,MIN(1,Premissas!$B$8/100+(1-Premissas!$B$8/100)*(A17-1)/(Premissas!$B$9-1)))</f>
        <v>1</v>
      </c>
      <c r="C17" s="9" t="n">
        <f aca="false">IF(A17&lt;=Resultados!$B$9,Resultados!$B$10,0)</f>
        <v>0</v>
      </c>
      <c r="D17" s="9" t="n">
        <f aca="false">Resultados!$E$37*$B17-Resultados!$F$37*$B17-Premissas!$B$24-Resultados!$E$37*$B17*(Premissas!$B$14/100)</f>
        <v>19027</v>
      </c>
      <c r="E17" s="9" t="n">
        <f aca="false">D17-$C17</f>
        <v>19027</v>
      </c>
      <c r="F17" s="9" t="n">
        <f aca="false">F16+E17</f>
        <v>-142252.1</v>
      </c>
      <c r="G17" s="37" t="str">
        <f aca="false">IF(AND(F16&lt;0,F17&gt;=0,A17&lt;=MAX(120,Premissas!$B$15*12)),(A17-1)+(-F16)/E17,"")</f>
        <v/>
      </c>
      <c r="H17" s="9" t="n">
        <f aca="false">Resultados!$E$38*$B17-Resultados!$F$38*$B17-Premissas!$B$24-Resultados!$E$38*$B17*(Premissas!$B$14/100)</f>
        <v>24432.4</v>
      </c>
      <c r="I17" s="9" t="n">
        <f aca="false">H17-$C17</f>
        <v>24432.4</v>
      </c>
      <c r="J17" s="9" t="n">
        <f aca="false">J16+I17</f>
        <v>-89819.72</v>
      </c>
      <c r="K17" s="37" t="str">
        <f aca="false">IF(AND(J16&lt;0,J17&gt;=0,A17&lt;=MAX(120,Premissas!$B$15*12)),(A17-1)+(-J16)/I17,"")</f>
        <v/>
      </c>
      <c r="L17" s="9" t="n">
        <f aca="false">Resultados!$E$39*$B17-Resultados!$F$39*$B17-Premissas!$B$24-Resultados!$E$39*$B17*(Premissas!$B$14/100)</f>
        <v>29837.8</v>
      </c>
      <c r="M17" s="9" t="n">
        <f aca="false">L17-$C17</f>
        <v>29837.8</v>
      </c>
      <c r="N17" s="9" t="n">
        <f aca="false">N16+M17</f>
        <v>-37387.34</v>
      </c>
      <c r="O17" s="37" t="str">
        <f aca="false">IF(AND(N16&lt;0,N17&gt;=0,A17&lt;=MAX(120,Premissas!$B$15*12)),(A17-1)+(-N16)/M17,"")</f>
        <v/>
      </c>
      <c r="P17" s="9" t="n">
        <f aca="false">Resultados!$B$19*$B17-Resultados!$B$20*$B17-Premissas!$B$24-Resultados!$B$19*$B17*(Premissas!$B$14/100)</f>
        <v>24432.4</v>
      </c>
      <c r="Q17" s="9" t="n">
        <f aca="false">P17-$C17</f>
        <v>24432.4</v>
      </c>
      <c r="R17" s="9" t="n">
        <f aca="false">R16+Q17</f>
        <v>-89819.72</v>
      </c>
      <c r="S17" s="37" t="str">
        <f aca="false">IF(AND(R16&lt;0,R17&gt;=0,A17&lt;=MAX(120,Premissas!$B$15*12)),(A17-1)+(-R16)/Q17,"")</f>
        <v/>
      </c>
    </row>
    <row r="18" customFormat="false" ht="15" hidden="false" customHeight="false" outlineLevel="0" collapsed="false">
      <c r="A18" s="10" t="n">
        <f aca="false">A17+1</f>
        <v>14</v>
      </c>
      <c r="B18" s="36" t="n">
        <f aca="false">IF(Premissas!$B$9&lt;=1,1,MIN(1,Premissas!$B$8/100+(1-Premissas!$B$8/100)*(A18-1)/(Premissas!$B$9-1)))</f>
        <v>1</v>
      </c>
      <c r="C18" s="9" t="n">
        <f aca="false">IF(A18&lt;=Resultados!$B$9,Resultados!$B$10,0)</f>
        <v>0</v>
      </c>
      <c r="D18" s="9" t="n">
        <f aca="false">Resultados!$E$37*$B18-Resultados!$F$37*$B18-Premissas!$B$24-Resultados!$E$37*$B18*(Premissas!$B$14/100)</f>
        <v>19027</v>
      </c>
      <c r="E18" s="9" t="n">
        <f aca="false">D18-$C18</f>
        <v>19027</v>
      </c>
      <c r="F18" s="9" t="n">
        <f aca="false">F17+E18</f>
        <v>-123225.1</v>
      </c>
      <c r="G18" s="37" t="str">
        <f aca="false">IF(AND(F17&lt;0,F18&gt;=0,A18&lt;=MAX(120,Premissas!$B$15*12)),(A18-1)+(-F17)/E18,"")</f>
        <v/>
      </c>
      <c r="H18" s="9" t="n">
        <f aca="false">Resultados!$E$38*$B18-Resultados!$F$38*$B18-Premissas!$B$24-Resultados!$E$38*$B18*(Premissas!$B$14/100)</f>
        <v>24432.4</v>
      </c>
      <c r="I18" s="9" t="n">
        <f aca="false">H18-$C18</f>
        <v>24432.4</v>
      </c>
      <c r="J18" s="9" t="n">
        <f aca="false">J17+I18</f>
        <v>-65387.32</v>
      </c>
      <c r="K18" s="37" t="str">
        <f aca="false">IF(AND(J17&lt;0,J18&gt;=0,A18&lt;=MAX(120,Premissas!$B$15*12)),(A18-1)+(-J17)/I18,"")</f>
        <v/>
      </c>
      <c r="L18" s="9" t="n">
        <f aca="false">Resultados!$E$39*$B18-Resultados!$F$39*$B18-Premissas!$B$24-Resultados!$E$39*$B18*(Premissas!$B$14/100)</f>
        <v>29837.8</v>
      </c>
      <c r="M18" s="9" t="n">
        <f aca="false">L18-$C18</f>
        <v>29837.8</v>
      </c>
      <c r="N18" s="9" t="n">
        <f aca="false">N17+M18</f>
        <v>-7549.53999999999</v>
      </c>
      <c r="O18" s="37" t="str">
        <f aca="false">IF(AND(N17&lt;0,N18&gt;=0,A18&lt;=MAX(120,Premissas!$B$15*12)),(A18-1)+(-N17)/M18,"")</f>
        <v/>
      </c>
      <c r="P18" s="9" t="n">
        <f aca="false">Resultados!$B$19*$B18-Resultados!$B$20*$B18-Premissas!$B$24-Resultados!$B$19*$B18*(Premissas!$B$14/100)</f>
        <v>24432.4</v>
      </c>
      <c r="Q18" s="9" t="n">
        <f aca="false">P18-$C18</f>
        <v>24432.4</v>
      </c>
      <c r="R18" s="9" t="n">
        <f aca="false">R17+Q18</f>
        <v>-65387.32</v>
      </c>
      <c r="S18" s="37" t="str">
        <f aca="false">IF(AND(R17&lt;0,R18&gt;=0,A18&lt;=MAX(120,Premissas!$B$15*12)),(A18-1)+(-R17)/Q18,"")</f>
        <v/>
      </c>
    </row>
    <row r="19" customFormat="false" ht="15" hidden="false" customHeight="false" outlineLevel="0" collapsed="false">
      <c r="A19" s="10" t="n">
        <f aca="false">A18+1</f>
        <v>15</v>
      </c>
      <c r="B19" s="36" t="n">
        <f aca="false">IF(Premissas!$B$9&lt;=1,1,MIN(1,Premissas!$B$8/100+(1-Premissas!$B$8/100)*(A19-1)/(Premissas!$B$9-1)))</f>
        <v>1</v>
      </c>
      <c r="C19" s="9" t="n">
        <f aca="false">IF(A19&lt;=Resultados!$B$9,Resultados!$B$10,0)</f>
        <v>0</v>
      </c>
      <c r="D19" s="9" t="n">
        <f aca="false">Resultados!$E$37*$B19-Resultados!$F$37*$B19-Premissas!$B$24-Resultados!$E$37*$B19*(Premissas!$B$14/100)</f>
        <v>19027</v>
      </c>
      <c r="E19" s="9" t="n">
        <f aca="false">D19-$C19</f>
        <v>19027</v>
      </c>
      <c r="F19" s="9" t="n">
        <f aca="false">F18+E19</f>
        <v>-104198.1</v>
      </c>
      <c r="G19" s="37" t="str">
        <f aca="false">IF(AND(F18&lt;0,F19&gt;=0,A19&lt;=MAX(120,Premissas!$B$15*12)),(A19-1)+(-F18)/E19,"")</f>
        <v/>
      </c>
      <c r="H19" s="9" t="n">
        <f aca="false">Resultados!$E$38*$B19-Resultados!$F$38*$B19-Premissas!$B$24-Resultados!$E$38*$B19*(Premissas!$B$14/100)</f>
        <v>24432.4</v>
      </c>
      <c r="I19" s="9" t="n">
        <f aca="false">H19-$C19</f>
        <v>24432.4</v>
      </c>
      <c r="J19" s="9" t="n">
        <f aca="false">J18+I19</f>
        <v>-40954.92</v>
      </c>
      <c r="K19" s="37" t="str">
        <f aca="false">IF(AND(J18&lt;0,J19&gt;=0,A19&lt;=MAX(120,Premissas!$B$15*12)),(A19-1)+(-J18)/I19,"")</f>
        <v/>
      </c>
      <c r="L19" s="9" t="n">
        <f aca="false">Resultados!$E$39*$B19-Resultados!$F$39*$B19-Premissas!$B$24-Resultados!$E$39*$B19*(Premissas!$B$14/100)</f>
        <v>29837.8</v>
      </c>
      <c r="M19" s="9" t="n">
        <f aca="false">L19-$C19</f>
        <v>29837.8</v>
      </c>
      <c r="N19" s="9" t="n">
        <f aca="false">N18+M19</f>
        <v>22288.26</v>
      </c>
      <c r="O19" s="37" t="n">
        <f aca="false">IF(AND(N18&lt;0,N19&gt;=0,A19&lt;=MAX(120,Premissas!$B$15*12)),(A19-1)+(-N18)/M19,"")</f>
        <v>14.253019324481</v>
      </c>
      <c r="P19" s="9" t="n">
        <f aca="false">Resultados!$B$19*$B19-Resultados!$B$20*$B19-Premissas!$B$24-Resultados!$B$19*$B19*(Premissas!$B$14/100)</f>
        <v>24432.4</v>
      </c>
      <c r="Q19" s="9" t="n">
        <f aca="false">P19-$C19</f>
        <v>24432.4</v>
      </c>
      <c r="R19" s="9" t="n">
        <f aca="false">R18+Q19</f>
        <v>-40954.92</v>
      </c>
      <c r="S19" s="37" t="str">
        <f aca="false">IF(AND(R18&lt;0,R19&gt;=0,A19&lt;=MAX(120,Premissas!$B$15*12)),(A19-1)+(-R18)/Q19,"")</f>
        <v/>
      </c>
    </row>
    <row r="20" customFormat="false" ht="15" hidden="false" customHeight="false" outlineLevel="0" collapsed="false">
      <c r="A20" s="10" t="n">
        <f aca="false">A19+1</f>
        <v>16</v>
      </c>
      <c r="B20" s="36" t="n">
        <f aca="false">IF(Premissas!$B$9&lt;=1,1,MIN(1,Premissas!$B$8/100+(1-Premissas!$B$8/100)*(A20-1)/(Premissas!$B$9-1)))</f>
        <v>1</v>
      </c>
      <c r="C20" s="9" t="n">
        <f aca="false">IF(A20&lt;=Resultados!$B$9,Resultados!$B$10,0)</f>
        <v>0</v>
      </c>
      <c r="D20" s="9" t="n">
        <f aca="false">Resultados!$E$37*$B20-Resultados!$F$37*$B20-Premissas!$B$24-Resultados!$E$37*$B20*(Premissas!$B$14/100)</f>
        <v>19027</v>
      </c>
      <c r="E20" s="9" t="n">
        <f aca="false">D20-$C20</f>
        <v>19027</v>
      </c>
      <c r="F20" s="9" t="n">
        <f aca="false">F19+E20</f>
        <v>-85171.1</v>
      </c>
      <c r="G20" s="37" t="str">
        <f aca="false">IF(AND(F19&lt;0,F20&gt;=0,A20&lt;=MAX(120,Premissas!$B$15*12)),(A20-1)+(-F19)/E20,"")</f>
        <v/>
      </c>
      <c r="H20" s="9" t="n">
        <f aca="false">Resultados!$E$38*$B20-Resultados!$F$38*$B20-Premissas!$B$24-Resultados!$E$38*$B20*(Premissas!$B$14/100)</f>
        <v>24432.4</v>
      </c>
      <c r="I20" s="9" t="n">
        <f aca="false">H20-$C20</f>
        <v>24432.4</v>
      </c>
      <c r="J20" s="9" t="n">
        <f aca="false">J19+I20</f>
        <v>-16522.52</v>
      </c>
      <c r="K20" s="37" t="str">
        <f aca="false">IF(AND(J19&lt;0,J20&gt;=0,A20&lt;=MAX(120,Premissas!$B$15*12)),(A20-1)+(-J19)/I20,"")</f>
        <v/>
      </c>
      <c r="L20" s="9" t="n">
        <f aca="false">Resultados!$E$39*$B20-Resultados!$F$39*$B20-Premissas!$B$24-Resultados!$E$39*$B20*(Premissas!$B$14/100)</f>
        <v>29837.8</v>
      </c>
      <c r="M20" s="9" t="n">
        <f aca="false">L20-$C20</f>
        <v>29837.8</v>
      </c>
      <c r="N20" s="9" t="n">
        <f aca="false">N19+M20</f>
        <v>52126.06</v>
      </c>
      <c r="O20" s="37" t="str">
        <f aca="false">IF(AND(N19&lt;0,N20&gt;=0,A20&lt;=MAX(120,Premissas!$B$15*12)),(A20-1)+(-N19)/M20,"")</f>
        <v/>
      </c>
      <c r="P20" s="9" t="n">
        <f aca="false">Resultados!$B$19*$B20-Resultados!$B$20*$B20-Premissas!$B$24-Resultados!$B$19*$B20*(Premissas!$B$14/100)</f>
        <v>24432.4</v>
      </c>
      <c r="Q20" s="9" t="n">
        <f aca="false">P20-$C20</f>
        <v>24432.4</v>
      </c>
      <c r="R20" s="9" t="n">
        <f aca="false">R19+Q20</f>
        <v>-16522.52</v>
      </c>
      <c r="S20" s="37" t="str">
        <f aca="false">IF(AND(R19&lt;0,R20&gt;=0,A20&lt;=MAX(120,Premissas!$B$15*12)),(A20-1)+(-R19)/Q20,"")</f>
        <v/>
      </c>
    </row>
    <row r="21" customFormat="false" ht="15" hidden="false" customHeight="false" outlineLevel="0" collapsed="false">
      <c r="A21" s="10" t="n">
        <f aca="false">A20+1</f>
        <v>17</v>
      </c>
      <c r="B21" s="36" t="n">
        <f aca="false">IF(Premissas!$B$9&lt;=1,1,MIN(1,Premissas!$B$8/100+(1-Premissas!$B$8/100)*(A21-1)/(Premissas!$B$9-1)))</f>
        <v>1</v>
      </c>
      <c r="C21" s="9" t="n">
        <f aca="false">IF(A21&lt;=Resultados!$B$9,Resultados!$B$10,0)</f>
        <v>0</v>
      </c>
      <c r="D21" s="9" t="n">
        <f aca="false">Resultados!$E$37*$B21-Resultados!$F$37*$B21-Premissas!$B$24-Resultados!$E$37*$B21*(Premissas!$B$14/100)</f>
        <v>19027</v>
      </c>
      <c r="E21" s="9" t="n">
        <f aca="false">D21-$C21</f>
        <v>19027</v>
      </c>
      <c r="F21" s="9" t="n">
        <f aca="false">F20+E21</f>
        <v>-66144.1</v>
      </c>
      <c r="G21" s="37" t="str">
        <f aca="false">IF(AND(F20&lt;0,F21&gt;=0,A21&lt;=MAX(120,Premissas!$B$15*12)),(A21-1)+(-F20)/E21,"")</f>
        <v/>
      </c>
      <c r="H21" s="9" t="n">
        <f aca="false">Resultados!$E$38*$B21-Resultados!$F$38*$B21-Premissas!$B$24-Resultados!$E$38*$B21*(Premissas!$B$14/100)</f>
        <v>24432.4</v>
      </c>
      <c r="I21" s="9" t="n">
        <f aca="false">H21-$C21</f>
        <v>24432.4</v>
      </c>
      <c r="J21" s="9" t="n">
        <f aca="false">J20+I21</f>
        <v>7909.88000000003</v>
      </c>
      <c r="K21" s="37" t="n">
        <f aca="false">IF(AND(J20&lt;0,J21&gt;=0,A21&lt;=MAX(120,Premissas!$B$15*12)),(A21-1)+(-J20)/I21,"")</f>
        <v>16.6762544817537</v>
      </c>
      <c r="L21" s="9" t="n">
        <f aca="false">Resultados!$E$39*$B21-Resultados!$F$39*$B21-Premissas!$B$24-Resultados!$E$39*$B21*(Premissas!$B$14/100)</f>
        <v>29837.8</v>
      </c>
      <c r="M21" s="9" t="n">
        <f aca="false">L21-$C21</f>
        <v>29837.8</v>
      </c>
      <c r="N21" s="9" t="n">
        <f aca="false">N20+M21</f>
        <v>81963.86</v>
      </c>
      <c r="O21" s="37" t="str">
        <f aca="false">IF(AND(N20&lt;0,N21&gt;=0,A21&lt;=MAX(120,Premissas!$B$15*12)),(A21-1)+(-N20)/M21,"")</f>
        <v/>
      </c>
      <c r="P21" s="9" t="n">
        <f aca="false">Resultados!$B$19*$B21-Resultados!$B$20*$B21-Premissas!$B$24-Resultados!$B$19*$B21*(Premissas!$B$14/100)</f>
        <v>24432.4</v>
      </c>
      <c r="Q21" s="9" t="n">
        <f aca="false">P21-$C21</f>
        <v>24432.4</v>
      </c>
      <c r="R21" s="9" t="n">
        <f aca="false">R20+Q21</f>
        <v>7909.88000000003</v>
      </c>
      <c r="S21" s="37" t="n">
        <f aca="false">IF(AND(R20&lt;0,R21&gt;=0,A21&lt;=MAX(120,Premissas!$B$15*12)),(A21-1)+(-R20)/Q21,"")</f>
        <v>16.6762544817537</v>
      </c>
    </row>
    <row r="22" customFormat="false" ht="15" hidden="false" customHeight="false" outlineLevel="0" collapsed="false">
      <c r="A22" s="10" t="n">
        <f aca="false">A21+1</f>
        <v>18</v>
      </c>
      <c r="B22" s="36" t="n">
        <f aca="false">IF(Premissas!$B$9&lt;=1,1,MIN(1,Premissas!$B$8/100+(1-Premissas!$B$8/100)*(A22-1)/(Premissas!$B$9-1)))</f>
        <v>1</v>
      </c>
      <c r="C22" s="9" t="n">
        <f aca="false">IF(A22&lt;=Resultados!$B$9,Resultados!$B$10,0)</f>
        <v>0</v>
      </c>
      <c r="D22" s="9" t="n">
        <f aca="false">Resultados!$E$37*$B22-Resultados!$F$37*$B22-Premissas!$B$24-Resultados!$E$37*$B22*(Premissas!$B$14/100)</f>
        <v>19027</v>
      </c>
      <c r="E22" s="9" t="n">
        <f aca="false">D22-$C22</f>
        <v>19027</v>
      </c>
      <c r="F22" s="9" t="n">
        <f aca="false">F21+E22</f>
        <v>-47117.1</v>
      </c>
      <c r="G22" s="37" t="str">
        <f aca="false">IF(AND(F21&lt;0,F22&gt;=0,A22&lt;=MAX(120,Premissas!$B$15*12)),(A22-1)+(-F21)/E22,"")</f>
        <v/>
      </c>
      <c r="H22" s="9" t="n">
        <f aca="false">Resultados!$E$38*$B22-Resultados!$F$38*$B22-Premissas!$B$24-Resultados!$E$38*$B22*(Premissas!$B$14/100)</f>
        <v>24432.4</v>
      </c>
      <c r="I22" s="9" t="n">
        <f aca="false">H22-$C22</f>
        <v>24432.4</v>
      </c>
      <c r="J22" s="9" t="n">
        <f aca="false">J21+I22</f>
        <v>32342.28</v>
      </c>
      <c r="K22" s="37" t="str">
        <f aca="false">IF(AND(J21&lt;0,J22&gt;=0,A22&lt;=MAX(120,Premissas!$B$15*12)),(A22-1)+(-J21)/I22,"")</f>
        <v/>
      </c>
      <c r="L22" s="9" t="n">
        <f aca="false">Resultados!$E$39*$B22-Resultados!$F$39*$B22-Premissas!$B$24-Resultados!$E$39*$B22*(Premissas!$B$14/100)</f>
        <v>29837.8</v>
      </c>
      <c r="M22" s="9" t="n">
        <f aca="false">L22-$C22</f>
        <v>29837.8</v>
      </c>
      <c r="N22" s="9" t="n">
        <f aca="false">N21+M22</f>
        <v>111801.66</v>
      </c>
      <c r="O22" s="37" t="str">
        <f aca="false">IF(AND(N21&lt;0,N22&gt;=0,A22&lt;=MAX(120,Premissas!$B$15*12)),(A22-1)+(-N21)/M22,"")</f>
        <v/>
      </c>
      <c r="P22" s="9" t="n">
        <f aca="false">Resultados!$B$19*$B22-Resultados!$B$20*$B22-Premissas!$B$24-Resultados!$B$19*$B22*(Premissas!$B$14/100)</f>
        <v>24432.4</v>
      </c>
      <c r="Q22" s="9" t="n">
        <f aca="false">P22-$C22</f>
        <v>24432.4</v>
      </c>
      <c r="R22" s="9" t="n">
        <f aca="false">R21+Q22</f>
        <v>32342.28</v>
      </c>
      <c r="S22" s="37" t="str">
        <f aca="false">IF(AND(R21&lt;0,R22&gt;=0,A22&lt;=MAX(120,Premissas!$B$15*12)),(A22-1)+(-R21)/Q22,"")</f>
        <v/>
      </c>
    </row>
    <row r="23" customFormat="false" ht="15" hidden="false" customHeight="false" outlineLevel="0" collapsed="false">
      <c r="A23" s="10" t="n">
        <f aca="false">A22+1</f>
        <v>19</v>
      </c>
      <c r="B23" s="36" t="n">
        <f aca="false">IF(Premissas!$B$9&lt;=1,1,MIN(1,Premissas!$B$8/100+(1-Premissas!$B$8/100)*(A23-1)/(Premissas!$B$9-1)))</f>
        <v>1</v>
      </c>
      <c r="C23" s="9" t="n">
        <f aca="false">IF(A23&lt;=Resultados!$B$9,Resultados!$B$10,0)</f>
        <v>0</v>
      </c>
      <c r="D23" s="9" t="n">
        <f aca="false">Resultados!$E$37*$B23-Resultados!$F$37*$B23-Premissas!$B$24-Resultados!$E$37*$B23*(Premissas!$B$14/100)</f>
        <v>19027</v>
      </c>
      <c r="E23" s="9" t="n">
        <f aca="false">D23-$C23</f>
        <v>19027</v>
      </c>
      <c r="F23" s="9" t="n">
        <f aca="false">F22+E23</f>
        <v>-28090.1</v>
      </c>
      <c r="G23" s="37" t="str">
        <f aca="false">IF(AND(F22&lt;0,F23&gt;=0,A23&lt;=MAX(120,Premissas!$B$15*12)),(A23-1)+(-F22)/E23,"")</f>
        <v/>
      </c>
      <c r="H23" s="9" t="n">
        <f aca="false">Resultados!$E$38*$B23-Resultados!$F$38*$B23-Premissas!$B$24-Resultados!$E$38*$B23*(Premissas!$B$14/100)</f>
        <v>24432.4</v>
      </c>
      <c r="I23" s="9" t="n">
        <f aca="false">H23-$C23</f>
        <v>24432.4</v>
      </c>
      <c r="J23" s="9" t="n">
        <f aca="false">J22+I23</f>
        <v>56774.68</v>
      </c>
      <c r="K23" s="37" t="str">
        <f aca="false">IF(AND(J22&lt;0,J23&gt;=0,A23&lt;=MAX(120,Premissas!$B$15*12)),(A23-1)+(-J22)/I23,"")</f>
        <v/>
      </c>
      <c r="L23" s="9" t="n">
        <f aca="false">Resultados!$E$39*$B23-Resultados!$F$39*$B23-Premissas!$B$24-Resultados!$E$39*$B23*(Premissas!$B$14/100)</f>
        <v>29837.8</v>
      </c>
      <c r="M23" s="9" t="n">
        <f aca="false">L23-$C23</f>
        <v>29837.8</v>
      </c>
      <c r="N23" s="9" t="n">
        <f aca="false">N22+M23</f>
        <v>141639.46</v>
      </c>
      <c r="O23" s="37" t="str">
        <f aca="false">IF(AND(N22&lt;0,N23&gt;=0,A23&lt;=MAX(120,Premissas!$B$15*12)),(A23-1)+(-N22)/M23,"")</f>
        <v/>
      </c>
      <c r="P23" s="9" t="n">
        <f aca="false">Resultados!$B$19*$B23-Resultados!$B$20*$B23-Premissas!$B$24-Resultados!$B$19*$B23*(Premissas!$B$14/100)</f>
        <v>24432.4</v>
      </c>
      <c r="Q23" s="9" t="n">
        <f aca="false">P23-$C23</f>
        <v>24432.4</v>
      </c>
      <c r="R23" s="9" t="n">
        <f aca="false">R22+Q23</f>
        <v>56774.68</v>
      </c>
      <c r="S23" s="37" t="str">
        <f aca="false">IF(AND(R22&lt;0,R23&gt;=0,A23&lt;=MAX(120,Premissas!$B$15*12)),(A23-1)+(-R22)/Q23,"")</f>
        <v/>
      </c>
    </row>
    <row r="24" customFormat="false" ht="15" hidden="false" customHeight="false" outlineLevel="0" collapsed="false">
      <c r="A24" s="10" t="n">
        <f aca="false">A23+1</f>
        <v>20</v>
      </c>
      <c r="B24" s="36" t="n">
        <f aca="false">IF(Premissas!$B$9&lt;=1,1,MIN(1,Premissas!$B$8/100+(1-Premissas!$B$8/100)*(A24-1)/(Premissas!$B$9-1)))</f>
        <v>1</v>
      </c>
      <c r="C24" s="9" t="n">
        <f aca="false">IF(A24&lt;=Resultados!$B$9,Resultados!$B$10,0)</f>
        <v>0</v>
      </c>
      <c r="D24" s="9" t="n">
        <f aca="false">Resultados!$E$37*$B24-Resultados!$F$37*$B24-Premissas!$B$24-Resultados!$E$37*$B24*(Premissas!$B$14/100)</f>
        <v>19027</v>
      </c>
      <c r="E24" s="9" t="n">
        <f aca="false">D24-$C24</f>
        <v>19027</v>
      </c>
      <c r="F24" s="9" t="n">
        <f aca="false">F23+E24</f>
        <v>-9063.10000000001</v>
      </c>
      <c r="G24" s="37" t="str">
        <f aca="false">IF(AND(F23&lt;0,F24&gt;=0,A24&lt;=MAX(120,Premissas!$B$15*12)),(A24-1)+(-F23)/E24,"")</f>
        <v/>
      </c>
      <c r="H24" s="9" t="n">
        <f aca="false">Resultados!$E$38*$B24-Resultados!$F$38*$B24-Premissas!$B$24-Resultados!$E$38*$B24*(Premissas!$B$14/100)</f>
        <v>24432.4</v>
      </c>
      <c r="I24" s="9" t="n">
        <f aca="false">H24-$C24</f>
        <v>24432.4</v>
      </c>
      <c r="J24" s="9" t="n">
        <f aca="false">J23+I24</f>
        <v>81207.0800000001</v>
      </c>
      <c r="K24" s="37" t="str">
        <f aca="false">IF(AND(J23&lt;0,J24&gt;=0,A24&lt;=MAX(120,Premissas!$B$15*12)),(A24-1)+(-J23)/I24,"")</f>
        <v/>
      </c>
      <c r="L24" s="9" t="n">
        <f aca="false">Resultados!$E$39*$B24-Resultados!$F$39*$B24-Premissas!$B$24-Resultados!$E$39*$B24*(Premissas!$B$14/100)</f>
        <v>29837.8</v>
      </c>
      <c r="M24" s="9" t="n">
        <f aca="false">L24-$C24</f>
        <v>29837.8</v>
      </c>
      <c r="N24" s="9" t="n">
        <f aca="false">N23+M24</f>
        <v>171477.26</v>
      </c>
      <c r="O24" s="37" t="str">
        <f aca="false">IF(AND(N23&lt;0,N24&gt;=0,A24&lt;=MAX(120,Premissas!$B$15*12)),(A24-1)+(-N23)/M24,"")</f>
        <v/>
      </c>
      <c r="P24" s="9" t="n">
        <f aca="false">Resultados!$B$19*$B24-Resultados!$B$20*$B24-Premissas!$B$24-Resultados!$B$19*$B24*(Premissas!$B$14/100)</f>
        <v>24432.4</v>
      </c>
      <c r="Q24" s="9" t="n">
        <f aca="false">P24-$C24</f>
        <v>24432.4</v>
      </c>
      <c r="R24" s="9" t="n">
        <f aca="false">R23+Q24</f>
        <v>81207.0800000001</v>
      </c>
      <c r="S24" s="37" t="str">
        <f aca="false">IF(AND(R23&lt;0,R24&gt;=0,A24&lt;=MAX(120,Premissas!$B$15*12)),(A24-1)+(-R23)/Q24,"")</f>
        <v/>
      </c>
    </row>
    <row r="25" customFormat="false" ht="15" hidden="false" customHeight="false" outlineLevel="0" collapsed="false">
      <c r="A25" s="10" t="n">
        <f aca="false">A24+1</f>
        <v>21</v>
      </c>
      <c r="B25" s="36" t="n">
        <f aca="false">IF(Premissas!$B$9&lt;=1,1,MIN(1,Premissas!$B$8/100+(1-Premissas!$B$8/100)*(A25-1)/(Premissas!$B$9-1)))</f>
        <v>1</v>
      </c>
      <c r="C25" s="9" t="n">
        <f aca="false">IF(A25&lt;=Resultados!$B$9,Resultados!$B$10,0)</f>
        <v>0</v>
      </c>
      <c r="D25" s="9" t="n">
        <f aca="false">Resultados!$E$37*$B25-Resultados!$F$37*$B25-Premissas!$B$24-Resultados!$E$37*$B25*(Premissas!$B$14/100)</f>
        <v>19027</v>
      </c>
      <c r="E25" s="9" t="n">
        <f aca="false">D25-$C25</f>
        <v>19027</v>
      </c>
      <c r="F25" s="9" t="n">
        <f aca="false">F24+E25</f>
        <v>9963.89999999999</v>
      </c>
      <c r="G25" s="37" t="n">
        <f aca="false">IF(AND(F24&lt;0,F25&gt;=0,A25&lt;=MAX(120,Premissas!$B$15*12)),(A25-1)+(-F24)/E25,"")</f>
        <v>20.4763283754664</v>
      </c>
      <c r="H25" s="9" t="n">
        <f aca="false">Resultados!$E$38*$B25-Resultados!$F$38*$B25-Premissas!$B$24-Resultados!$E$38*$B25*(Premissas!$B$14/100)</f>
        <v>24432.4</v>
      </c>
      <c r="I25" s="9" t="n">
        <f aca="false">H25-$C25</f>
        <v>24432.4</v>
      </c>
      <c r="J25" s="9" t="n">
        <f aca="false">J24+I25</f>
        <v>105639.48</v>
      </c>
      <c r="K25" s="37" t="str">
        <f aca="false">IF(AND(J24&lt;0,J25&gt;=0,A25&lt;=MAX(120,Premissas!$B$15*12)),(A25-1)+(-J24)/I25,"")</f>
        <v/>
      </c>
      <c r="L25" s="9" t="n">
        <f aca="false">Resultados!$E$39*$B25-Resultados!$F$39*$B25-Premissas!$B$24-Resultados!$E$39*$B25*(Premissas!$B$14/100)</f>
        <v>29837.8</v>
      </c>
      <c r="M25" s="9" t="n">
        <f aca="false">L25-$C25</f>
        <v>29837.8</v>
      </c>
      <c r="N25" s="9" t="n">
        <f aca="false">N24+M25</f>
        <v>201315.06</v>
      </c>
      <c r="O25" s="37" t="str">
        <f aca="false">IF(AND(N24&lt;0,N25&gt;=0,A25&lt;=MAX(120,Premissas!$B$15*12)),(A25-1)+(-N24)/M25,"")</f>
        <v/>
      </c>
      <c r="P25" s="9" t="n">
        <f aca="false">Resultados!$B$19*$B25-Resultados!$B$20*$B25-Premissas!$B$24-Resultados!$B$19*$B25*(Premissas!$B$14/100)</f>
        <v>24432.4</v>
      </c>
      <c r="Q25" s="9" t="n">
        <f aca="false">P25-$C25</f>
        <v>24432.4</v>
      </c>
      <c r="R25" s="9" t="n">
        <f aca="false">R24+Q25</f>
        <v>105639.48</v>
      </c>
      <c r="S25" s="37" t="str">
        <f aca="false">IF(AND(R24&lt;0,R25&gt;=0,A25&lt;=MAX(120,Premissas!$B$15*12)),(A25-1)+(-R24)/Q25,"")</f>
        <v/>
      </c>
    </row>
    <row r="26" customFormat="false" ht="15" hidden="false" customHeight="false" outlineLevel="0" collapsed="false">
      <c r="A26" s="10" t="n">
        <f aca="false">A25+1</f>
        <v>22</v>
      </c>
      <c r="B26" s="36" t="n">
        <f aca="false">IF(Premissas!$B$9&lt;=1,1,MIN(1,Premissas!$B$8/100+(1-Premissas!$B$8/100)*(A26-1)/(Premissas!$B$9-1)))</f>
        <v>1</v>
      </c>
      <c r="C26" s="9" t="n">
        <f aca="false">IF(A26&lt;=Resultados!$B$9,Resultados!$B$10,0)</f>
        <v>0</v>
      </c>
      <c r="D26" s="9" t="n">
        <f aca="false">Resultados!$E$37*$B26-Resultados!$F$37*$B26-Premissas!$B$24-Resultados!$E$37*$B26*(Premissas!$B$14/100)</f>
        <v>19027</v>
      </c>
      <c r="E26" s="9" t="n">
        <f aca="false">D26-$C26</f>
        <v>19027</v>
      </c>
      <c r="F26" s="9" t="n">
        <f aca="false">F25+E26</f>
        <v>28990.9</v>
      </c>
      <c r="G26" s="37" t="str">
        <f aca="false">IF(AND(F25&lt;0,F26&gt;=0,A26&lt;=MAX(120,Premissas!$B$15*12)),(A26-1)+(-F25)/E26,"")</f>
        <v/>
      </c>
      <c r="H26" s="9" t="n">
        <f aca="false">Resultados!$E$38*$B26-Resultados!$F$38*$B26-Premissas!$B$24-Resultados!$E$38*$B26*(Premissas!$B$14/100)</f>
        <v>24432.4</v>
      </c>
      <c r="I26" s="9" t="n">
        <f aca="false">H26-$C26</f>
        <v>24432.4</v>
      </c>
      <c r="J26" s="9" t="n">
        <f aca="false">J25+I26</f>
        <v>130071.88</v>
      </c>
      <c r="K26" s="37" t="str">
        <f aca="false">IF(AND(J25&lt;0,J26&gt;=0,A26&lt;=MAX(120,Premissas!$B$15*12)),(A26-1)+(-J25)/I26,"")</f>
        <v/>
      </c>
      <c r="L26" s="9" t="n">
        <f aca="false">Resultados!$E$39*$B26-Resultados!$F$39*$B26-Premissas!$B$24-Resultados!$E$39*$B26*(Premissas!$B$14/100)</f>
        <v>29837.8</v>
      </c>
      <c r="M26" s="9" t="n">
        <f aca="false">L26-$C26</f>
        <v>29837.8</v>
      </c>
      <c r="N26" s="9" t="n">
        <f aca="false">N25+M26</f>
        <v>231152.86</v>
      </c>
      <c r="O26" s="37" t="str">
        <f aca="false">IF(AND(N25&lt;0,N26&gt;=0,A26&lt;=MAX(120,Premissas!$B$15*12)),(A26-1)+(-N25)/M26,"")</f>
        <v/>
      </c>
      <c r="P26" s="9" t="n">
        <f aca="false">Resultados!$B$19*$B26-Resultados!$B$20*$B26-Premissas!$B$24-Resultados!$B$19*$B26*(Premissas!$B$14/100)</f>
        <v>24432.4</v>
      </c>
      <c r="Q26" s="9" t="n">
        <f aca="false">P26-$C26</f>
        <v>24432.4</v>
      </c>
      <c r="R26" s="9" t="n">
        <f aca="false">R25+Q26</f>
        <v>130071.88</v>
      </c>
      <c r="S26" s="37" t="str">
        <f aca="false">IF(AND(R25&lt;0,R26&gt;=0,A26&lt;=MAX(120,Premissas!$B$15*12)),(A26-1)+(-R25)/Q26,"")</f>
        <v/>
      </c>
    </row>
    <row r="27" customFormat="false" ht="15" hidden="false" customHeight="false" outlineLevel="0" collapsed="false">
      <c r="A27" s="10" t="n">
        <f aca="false">A26+1</f>
        <v>23</v>
      </c>
      <c r="B27" s="36" t="n">
        <f aca="false">IF(Premissas!$B$9&lt;=1,1,MIN(1,Premissas!$B$8/100+(1-Premissas!$B$8/100)*(A27-1)/(Premissas!$B$9-1)))</f>
        <v>1</v>
      </c>
      <c r="C27" s="9" t="n">
        <f aca="false">IF(A27&lt;=Resultados!$B$9,Resultados!$B$10,0)</f>
        <v>0</v>
      </c>
      <c r="D27" s="9" t="n">
        <f aca="false">Resultados!$E$37*$B27-Resultados!$F$37*$B27-Premissas!$B$24-Resultados!$E$37*$B27*(Premissas!$B$14/100)</f>
        <v>19027</v>
      </c>
      <c r="E27" s="9" t="n">
        <f aca="false">D27-$C27</f>
        <v>19027</v>
      </c>
      <c r="F27" s="9" t="n">
        <f aca="false">F26+E27</f>
        <v>48017.9</v>
      </c>
      <c r="G27" s="37" t="str">
        <f aca="false">IF(AND(F26&lt;0,F27&gt;=0,A27&lt;=MAX(120,Premissas!$B$15*12)),(A27-1)+(-F26)/E27,"")</f>
        <v/>
      </c>
      <c r="H27" s="9" t="n">
        <f aca="false">Resultados!$E$38*$B27-Resultados!$F$38*$B27-Premissas!$B$24-Resultados!$E$38*$B27*(Premissas!$B$14/100)</f>
        <v>24432.4</v>
      </c>
      <c r="I27" s="9" t="n">
        <f aca="false">H27-$C27</f>
        <v>24432.4</v>
      </c>
      <c r="J27" s="9" t="n">
        <f aca="false">J26+I27</f>
        <v>154504.28</v>
      </c>
      <c r="K27" s="37" t="str">
        <f aca="false">IF(AND(J26&lt;0,J27&gt;=0,A27&lt;=MAX(120,Premissas!$B$15*12)),(A27-1)+(-J26)/I27,"")</f>
        <v/>
      </c>
      <c r="L27" s="9" t="n">
        <f aca="false">Resultados!$E$39*$B27-Resultados!$F$39*$B27-Premissas!$B$24-Resultados!$E$39*$B27*(Premissas!$B$14/100)</f>
        <v>29837.8</v>
      </c>
      <c r="M27" s="9" t="n">
        <f aca="false">L27-$C27</f>
        <v>29837.8</v>
      </c>
      <c r="N27" s="9" t="n">
        <f aca="false">N26+M27</f>
        <v>260990.66</v>
      </c>
      <c r="O27" s="37" t="str">
        <f aca="false">IF(AND(N26&lt;0,N27&gt;=0,A27&lt;=MAX(120,Premissas!$B$15*12)),(A27-1)+(-N26)/M27,"")</f>
        <v/>
      </c>
      <c r="P27" s="9" t="n">
        <f aca="false">Resultados!$B$19*$B27-Resultados!$B$20*$B27-Premissas!$B$24-Resultados!$B$19*$B27*(Premissas!$B$14/100)</f>
        <v>24432.4</v>
      </c>
      <c r="Q27" s="9" t="n">
        <f aca="false">P27-$C27</f>
        <v>24432.4</v>
      </c>
      <c r="R27" s="9" t="n">
        <f aca="false">R26+Q27</f>
        <v>154504.28</v>
      </c>
      <c r="S27" s="37" t="str">
        <f aca="false">IF(AND(R26&lt;0,R27&gt;=0,A27&lt;=MAX(120,Premissas!$B$15*12)),(A27-1)+(-R26)/Q27,"")</f>
        <v/>
      </c>
    </row>
    <row r="28" customFormat="false" ht="15" hidden="false" customHeight="false" outlineLevel="0" collapsed="false">
      <c r="A28" s="10" t="n">
        <f aca="false">A27+1</f>
        <v>24</v>
      </c>
      <c r="B28" s="36" t="n">
        <f aca="false">IF(Premissas!$B$9&lt;=1,1,MIN(1,Premissas!$B$8/100+(1-Premissas!$B$8/100)*(A28-1)/(Premissas!$B$9-1)))</f>
        <v>1</v>
      </c>
      <c r="C28" s="9" t="n">
        <f aca="false">IF(A28&lt;=Resultados!$B$9,Resultados!$B$10,0)</f>
        <v>0</v>
      </c>
      <c r="D28" s="9" t="n">
        <f aca="false">Resultados!$E$37*$B28-Resultados!$F$37*$B28-Premissas!$B$24-Resultados!$E$37*$B28*(Premissas!$B$14/100)</f>
        <v>19027</v>
      </c>
      <c r="E28" s="9" t="n">
        <f aca="false">D28-$C28</f>
        <v>19027</v>
      </c>
      <c r="F28" s="9" t="n">
        <f aca="false">F27+E28</f>
        <v>67044.9</v>
      </c>
      <c r="G28" s="37" t="str">
        <f aca="false">IF(AND(F27&lt;0,F28&gt;=0,A28&lt;=MAX(120,Premissas!$B$15*12)),(A28-1)+(-F27)/E28,"")</f>
        <v/>
      </c>
      <c r="H28" s="9" t="n">
        <f aca="false">Resultados!$E$38*$B28-Resultados!$F$38*$B28-Premissas!$B$24-Resultados!$E$38*$B28*(Premissas!$B$14/100)</f>
        <v>24432.4</v>
      </c>
      <c r="I28" s="9" t="n">
        <f aca="false">H28-$C28</f>
        <v>24432.4</v>
      </c>
      <c r="J28" s="9" t="n">
        <f aca="false">J27+I28</f>
        <v>178936.68</v>
      </c>
      <c r="K28" s="37" t="str">
        <f aca="false">IF(AND(J27&lt;0,J28&gt;=0,A28&lt;=MAX(120,Premissas!$B$15*12)),(A28-1)+(-J27)/I28,"")</f>
        <v/>
      </c>
      <c r="L28" s="9" t="n">
        <f aca="false">Resultados!$E$39*$B28-Resultados!$F$39*$B28-Premissas!$B$24-Resultados!$E$39*$B28*(Premissas!$B$14/100)</f>
        <v>29837.8</v>
      </c>
      <c r="M28" s="9" t="n">
        <f aca="false">L28-$C28</f>
        <v>29837.8</v>
      </c>
      <c r="N28" s="9" t="n">
        <f aca="false">N27+M28</f>
        <v>290828.46</v>
      </c>
      <c r="O28" s="37" t="str">
        <f aca="false">IF(AND(N27&lt;0,N28&gt;=0,A28&lt;=MAX(120,Premissas!$B$15*12)),(A28-1)+(-N27)/M28,"")</f>
        <v/>
      </c>
      <c r="P28" s="9" t="n">
        <f aca="false">Resultados!$B$19*$B28-Resultados!$B$20*$B28-Premissas!$B$24-Resultados!$B$19*$B28*(Premissas!$B$14/100)</f>
        <v>24432.4</v>
      </c>
      <c r="Q28" s="9" t="n">
        <f aca="false">P28-$C28</f>
        <v>24432.4</v>
      </c>
      <c r="R28" s="9" t="n">
        <f aca="false">R27+Q28</f>
        <v>178936.68</v>
      </c>
      <c r="S28" s="37" t="str">
        <f aca="false">IF(AND(R27&lt;0,R28&gt;=0,A28&lt;=MAX(120,Premissas!$B$15*12)),(A28-1)+(-R27)/Q28,"")</f>
        <v/>
      </c>
    </row>
    <row r="29" customFormat="false" ht="15" hidden="false" customHeight="false" outlineLevel="0" collapsed="false">
      <c r="A29" s="10" t="n">
        <f aca="false">A28+1</f>
        <v>25</v>
      </c>
      <c r="B29" s="36" t="n">
        <f aca="false">IF(Premissas!$B$9&lt;=1,1,MIN(1,Premissas!$B$8/100+(1-Premissas!$B$8/100)*(A29-1)/(Premissas!$B$9-1)))</f>
        <v>1</v>
      </c>
      <c r="C29" s="9" t="n">
        <f aca="false">IF(A29&lt;=Resultados!$B$9,Resultados!$B$10,0)</f>
        <v>0</v>
      </c>
      <c r="D29" s="9" t="n">
        <f aca="false">Resultados!$E$37*$B29-Resultados!$F$37*$B29-Premissas!$B$24-Resultados!$E$37*$B29*(Premissas!$B$14/100)</f>
        <v>19027</v>
      </c>
      <c r="E29" s="9" t="n">
        <f aca="false">D29-$C29</f>
        <v>19027</v>
      </c>
      <c r="F29" s="9" t="n">
        <f aca="false">F28+E29</f>
        <v>86071.9</v>
      </c>
      <c r="G29" s="37" t="str">
        <f aca="false">IF(AND(F28&lt;0,F29&gt;=0,A29&lt;=MAX(120,Premissas!$B$15*12)),(A29-1)+(-F28)/E29,"")</f>
        <v/>
      </c>
      <c r="H29" s="9" t="n">
        <f aca="false">Resultados!$E$38*$B29-Resultados!$F$38*$B29-Premissas!$B$24-Resultados!$E$38*$B29*(Premissas!$B$14/100)</f>
        <v>24432.4</v>
      </c>
      <c r="I29" s="9" t="n">
        <f aca="false">H29-$C29</f>
        <v>24432.4</v>
      </c>
      <c r="J29" s="9" t="n">
        <f aca="false">J28+I29</f>
        <v>203369.08</v>
      </c>
      <c r="K29" s="37" t="str">
        <f aca="false">IF(AND(J28&lt;0,J29&gt;=0,A29&lt;=MAX(120,Premissas!$B$15*12)),(A29-1)+(-J28)/I29,"")</f>
        <v/>
      </c>
      <c r="L29" s="9" t="n">
        <f aca="false">Resultados!$E$39*$B29-Resultados!$F$39*$B29-Premissas!$B$24-Resultados!$E$39*$B29*(Premissas!$B$14/100)</f>
        <v>29837.8</v>
      </c>
      <c r="M29" s="9" t="n">
        <f aca="false">L29-$C29</f>
        <v>29837.8</v>
      </c>
      <c r="N29" s="9" t="n">
        <f aca="false">N28+M29</f>
        <v>320666.26</v>
      </c>
      <c r="O29" s="37" t="str">
        <f aca="false">IF(AND(N28&lt;0,N29&gt;=0,A29&lt;=MAX(120,Premissas!$B$15*12)),(A29-1)+(-N28)/M29,"")</f>
        <v/>
      </c>
      <c r="P29" s="9" t="n">
        <f aca="false">Resultados!$B$19*$B29-Resultados!$B$20*$B29-Premissas!$B$24-Resultados!$B$19*$B29*(Premissas!$B$14/100)</f>
        <v>24432.4</v>
      </c>
      <c r="Q29" s="9" t="n">
        <f aca="false">P29-$C29</f>
        <v>24432.4</v>
      </c>
      <c r="R29" s="9" t="n">
        <f aca="false">R28+Q29</f>
        <v>203369.08</v>
      </c>
      <c r="S29" s="37" t="str">
        <f aca="false">IF(AND(R28&lt;0,R29&gt;=0,A29&lt;=MAX(120,Premissas!$B$15*12)),(A29-1)+(-R28)/Q29,"")</f>
        <v/>
      </c>
    </row>
    <row r="30" customFormat="false" ht="15" hidden="false" customHeight="false" outlineLevel="0" collapsed="false">
      <c r="A30" s="10" t="n">
        <f aca="false">A29+1</f>
        <v>26</v>
      </c>
      <c r="B30" s="36" t="n">
        <f aca="false">IF(Premissas!$B$9&lt;=1,1,MIN(1,Premissas!$B$8/100+(1-Premissas!$B$8/100)*(A30-1)/(Premissas!$B$9-1)))</f>
        <v>1</v>
      </c>
      <c r="C30" s="9" t="n">
        <f aca="false">IF(A30&lt;=Resultados!$B$9,Resultados!$B$10,0)</f>
        <v>0</v>
      </c>
      <c r="D30" s="9" t="n">
        <f aca="false">Resultados!$E$37*$B30-Resultados!$F$37*$B30-Premissas!$B$24-Resultados!$E$37*$B30*(Premissas!$B$14/100)</f>
        <v>19027</v>
      </c>
      <c r="E30" s="9" t="n">
        <f aca="false">D30-$C30</f>
        <v>19027</v>
      </c>
      <c r="F30" s="9" t="n">
        <f aca="false">F29+E30</f>
        <v>105098.9</v>
      </c>
      <c r="G30" s="37" t="str">
        <f aca="false">IF(AND(F29&lt;0,F30&gt;=0,A30&lt;=MAX(120,Premissas!$B$15*12)),(A30-1)+(-F29)/E30,"")</f>
        <v/>
      </c>
      <c r="H30" s="9" t="n">
        <f aca="false">Resultados!$E$38*$B30-Resultados!$F$38*$B30-Premissas!$B$24-Resultados!$E$38*$B30*(Premissas!$B$14/100)</f>
        <v>24432.4</v>
      </c>
      <c r="I30" s="9" t="n">
        <f aca="false">H30-$C30</f>
        <v>24432.4</v>
      </c>
      <c r="J30" s="9" t="n">
        <f aca="false">J29+I30</f>
        <v>227801.48</v>
      </c>
      <c r="K30" s="37" t="str">
        <f aca="false">IF(AND(J29&lt;0,J30&gt;=0,A30&lt;=MAX(120,Premissas!$B$15*12)),(A30-1)+(-J29)/I30,"")</f>
        <v/>
      </c>
      <c r="L30" s="9" t="n">
        <f aca="false">Resultados!$E$39*$B30-Resultados!$F$39*$B30-Premissas!$B$24-Resultados!$E$39*$B30*(Premissas!$B$14/100)</f>
        <v>29837.8</v>
      </c>
      <c r="M30" s="9" t="n">
        <f aca="false">L30-$C30</f>
        <v>29837.8</v>
      </c>
      <c r="N30" s="9" t="n">
        <f aca="false">N29+M30</f>
        <v>350504.06</v>
      </c>
      <c r="O30" s="37" t="str">
        <f aca="false">IF(AND(N29&lt;0,N30&gt;=0,A30&lt;=MAX(120,Premissas!$B$15*12)),(A30-1)+(-N29)/M30,"")</f>
        <v/>
      </c>
      <c r="P30" s="9" t="n">
        <f aca="false">Resultados!$B$19*$B30-Resultados!$B$20*$B30-Premissas!$B$24-Resultados!$B$19*$B30*(Premissas!$B$14/100)</f>
        <v>24432.4</v>
      </c>
      <c r="Q30" s="9" t="n">
        <f aca="false">P30-$C30</f>
        <v>24432.4</v>
      </c>
      <c r="R30" s="9" t="n">
        <f aca="false">R29+Q30</f>
        <v>227801.48</v>
      </c>
      <c r="S30" s="37" t="str">
        <f aca="false">IF(AND(R29&lt;0,R30&gt;=0,A30&lt;=MAX(120,Premissas!$B$15*12)),(A30-1)+(-R29)/Q30,"")</f>
        <v/>
      </c>
    </row>
    <row r="31" customFormat="false" ht="15" hidden="false" customHeight="false" outlineLevel="0" collapsed="false">
      <c r="A31" s="10" t="n">
        <f aca="false">A30+1</f>
        <v>27</v>
      </c>
      <c r="B31" s="36" t="n">
        <f aca="false">IF(Premissas!$B$9&lt;=1,1,MIN(1,Premissas!$B$8/100+(1-Premissas!$B$8/100)*(A31-1)/(Premissas!$B$9-1)))</f>
        <v>1</v>
      </c>
      <c r="C31" s="9" t="n">
        <f aca="false">IF(A31&lt;=Resultados!$B$9,Resultados!$B$10,0)</f>
        <v>0</v>
      </c>
      <c r="D31" s="9" t="n">
        <f aca="false">Resultados!$E$37*$B31-Resultados!$F$37*$B31-Premissas!$B$24-Resultados!$E$37*$B31*(Premissas!$B$14/100)</f>
        <v>19027</v>
      </c>
      <c r="E31" s="9" t="n">
        <f aca="false">D31-$C31</f>
        <v>19027</v>
      </c>
      <c r="F31" s="9" t="n">
        <f aca="false">F30+E31</f>
        <v>124125.9</v>
      </c>
      <c r="G31" s="37" t="str">
        <f aca="false">IF(AND(F30&lt;0,F31&gt;=0,A31&lt;=MAX(120,Premissas!$B$15*12)),(A31-1)+(-F30)/E31,"")</f>
        <v/>
      </c>
      <c r="H31" s="9" t="n">
        <f aca="false">Resultados!$E$38*$B31-Resultados!$F$38*$B31-Premissas!$B$24-Resultados!$E$38*$B31*(Premissas!$B$14/100)</f>
        <v>24432.4</v>
      </c>
      <c r="I31" s="9" t="n">
        <f aca="false">H31-$C31</f>
        <v>24432.4</v>
      </c>
      <c r="J31" s="9" t="n">
        <f aca="false">J30+I31</f>
        <v>252233.88</v>
      </c>
      <c r="K31" s="37" t="str">
        <f aca="false">IF(AND(J30&lt;0,J31&gt;=0,A31&lt;=MAX(120,Premissas!$B$15*12)),(A31-1)+(-J30)/I31,"")</f>
        <v/>
      </c>
      <c r="L31" s="9" t="n">
        <f aca="false">Resultados!$E$39*$B31-Resultados!$F$39*$B31-Premissas!$B$24-Resultados!$E$39*$B31*(Premissas!$B$14/100)</f>
        <v>29837.8</v>
      </c>
      <c r="M31" s="9" t="n">
        <f aca="false">L31-$C31</f>
        <v>29837.8</v>
      </c>
      <c r="N31" s="9" t="n">
        <f aca="false">N30+M31</f>
        <v>380341.86</v>
      </c>
      <c r="O31" s="37" t="str">
        <f aca="false">IF(AND(N30&lt;0,N31&gt;=0,A31&lt;=MAX(120,Premissas!$B$15*12)),(A31-1)+(-N30)/M31,"")</f>
        <v/>
      </c>
      <c r="P31" s="9" t="n">
        <f aca="false">Resultados!$B$19*$B31-Resultados!$B$20*$B31-Premissas!$B$24-Resultados!$B$19*$B31*(Premissas!$B$14/100)</f>
        <v>24432.4</v>
      </c>
      <c r="Q31" s="9" t="n">
        <f aca="false">P31-$C31</f>
        <v>24432.4</v>
      </c>
      <c r="R31" s="9" t="n">
        <f aca="false">R30+Q31</f>
        <v>252233.88</v>
      </c>
      <c r="S31" s="37" t="str">
        <f aca="false">IF(AND(R30&lt;0,R31&gt;=0,A31&lt;=MAX(120,Premissas!$B$15*12)),(A31-1)+(-R30)/Q31,"")</f>
        <v/>
      </c>
    </row>
    <row r="32" customFormat="false" ht="15" hidden="false" customHeight="false" outlineLevel="0" collapsed="false">
      <c r="A32" s="10" t="n">
        <f aca="false">A31+1</f>
        <v>28</v>
      </c>
      <c r="B32" s="36" t="n">
        <f aca="false">IF(Premissas!$B$9&lt;=1,1,MIN(1,Premissas!$B$8/100+(1-Premissas!$B$8/100)*(A32-1)/(Premissas!$B$9-1)))</f>
        <v>1</v>
      </c>
      <c r="C32" s="9" t="n">
        <f aca="false">IF(A32&lt;=Resultados!$B$9,Resultados!$B$10,0)</f>
        <v>0</v>
      </c>
      <c r="D32" s="9" t="n">
        <f aca="false">Resultados!$E$37*$B32-Resultados!$F$37*$B32-Premissas!$B$24-Resultados!$E$37*$B32*(Premissas!$B$14/100)</f>
        <v>19027</v>
      </c>
      <c r="E32" s="9" t="n">
        <f aca="false">D32-$C32</f>
        <v>19027</v>
      </c>
      <c r="F32" s="9" t="n">
        <f aca="false">F31+E32</f>
        <v>143152.9</v>
      </c>
      <c r="G32" s="37" t="str">
        <f aca="false">IF(AND(F31&lt;0,F32&gt;=0,A32&lt;=MAX(120,Premissas!$B$15*12)),(A32-1)+(-F31)/E32,"")</f>
        <v/>
      </c>
      <c r="H32" s="9" t="n">
        <f aca="false">Resultados!$E$38*$B32-Resultados!$F$38*$B32-Premissas!$B$24-Resultados!$E$38*$B32*(Premissas!$B$14/100)</f>
        <v>24432.4</v>
      </c>
      <c r="I32" s="9" t="n">
        <f aca="false">H32-$C32</f>
        <v>24432.4</v>
      </c>
      <c r="J32" s="9" t="n">
        <f aca="false">J31+I32</f>
        <v>276666.28</v>
      </c>
      <c r="K32" s="37" t="str">
        <f aca="false">IF(AND(J31&lt;0,J32&gt;=0,A32&lt;=MAX(120,Premissas!$B$15*12)),(A32-1)+(-J31)/I32,"")</f>
        <v/>
      </c>
      <c r="L32" s="9" t="n">
        <f aca="false">Resultados!$E$39*$B32-Resultados!$F$39*$B32-Premissas!$B$24-Resultados!$E$39*$B32*(Premissas!$B$14/100)</f>
        <v>29837.8</v>
      </c>
      <c r="M32" s="9" t="n">
        <f aca="false">L32-$C32</f>
        <v>29837.8</v>
      </c>
      <c r="N32" s="9" t="n">
        <f aca="false">N31+M32</f>
        <v>410179.66</v>
      </c>
      <c r="O32" s="37" t="str">
        <f aca="false">IF(AND(N31&lt;0,N32&gt;=0,A32&lt;=MAX(120,Premissas!$B$15*12)),(A32-1)+(-N31)/M32,"")</f>
        <v/>
      </c>
      <c r="P32" s="9" t="n">
        <f aca="false">Resultados!$B$19*$B32-Resultados!$B$20*$B32-Premissas!$B$24-Resultados!$B$19*$B32*(Premissas!$B$14/100)</f>
        <v>24432.4</v>
      </c>
      <c r="Q32" s="9" t="n">
        <f aca="false">P32-$C32</f>
        <v>24432.4</v>
      </c>
      <c r="R32" s="9" t="n">
        <f aca="false">R31+Q32</f>
        <v>276666.28</v>
      </c>
      <c r="S32" s="37" t="str">
        <f aca="false">IF(AND(R31&lt;0,R32&gt;=0,A32&lt;=MAX(120,Premissas!$B$15*12)),(A32-1)+(-R31)/Q32,"")</f>
        <v/>
      </c>
    </row>
    <row r="33" customFormat="false" ht="15" hidden="false" customHeight="false" outlineLevel="0" collapsed="false">
      <c r="A33" s="10" t="n">
        <f aca="false">A32+1</f>
        <v>29</v>
      </c>
      <c r="B33" s="36" t="n">
        <f aca="false">IF(Premissas!$B$9&lt;=1,1,MIN(1,Premissas!$B$8/100+(1-Premissas!$B$8/100)*(A33-1)/(Premissas!$B$9-1)))</f>
        <v>1</v>
      </c>
      <c r="C33" s="9" t="n">
        <f aca="false">IF(A33&lt;=Resultados!$B$9,Resultados!$B$10,0)</f>
        <v>0</v>
      </c>
      <c r="D33" s="9" t="n">
        <f aca="false">Resultados!$E$37*$B33-Resultados!$F$37*$B33-Premissas!$B$24-Resultados!$E$37*$B33*(Premissas!$B$14/100)</f>
        <v>19027</v>
      </c>
      <c r="E33" s="9" t="n">
        <f aca="false">D33-$C33</f>
        <v>19027</v>
      </c>
      <c r="F33" s="9" t="n">
        <f aca="false">F32+E33</f>
        <v>162179.9</v>
      </c>
      <c r="G33" s="37" t="str">
        <f aca="false">IF(AND(F32&lt;0,F33&gt;=0,A33&lt;=MAX(120,Premissas!$B$15*12)),(A33-1)+(-F32)/E33,"")</f>
        <v/>
      </c>
      <c r="H33" s="9" t="n">
        <f aca="false">Resultados!$E$38*$B33-Resultados!$F$38*$B33-Premissas!$B$24-Resultados!$E$38*$B33*(Premissas!$B$14/100)</f>
        <v>24432.4</v>
      </c>
      <c r="I33" s="9" t="n">
        <f aca="false">H33-$C33</f>
        <v>24432.4</v>
      </c>
      <c r="J33" s="9" t="n">
        <f aca="false">J32+I33</f>
        <v>301098.68</v>
      </c>
      <c r="K33" s="37" t="str">
        <f aca="false">IF(AND(J32&lt;0,J33&gt;=0,A33&lt;=MAX(120,Premissas!$B$15*12)),(A33-1)+(-J32)/I33,"")</f>
        <v/>
      </c>
      <c r="L33" s="9" t="n">
        <f aca="false">Resultados!$E$39*$B33-Resultados!$F$39*$B33-Premissas!$B$24-Resultados!$E$39*$B33*(Premissas!$B$14/100)</f>
        <v>29837.8</v>
      </c>
      <c r="M33" s="9" t="n">
        <f aca="false">L33-$C33</f>
        <v>29837.8</v>
      </c>
      <c r="N33" s="9" t="n">
        <f aca="false">N32+M33</f>
        <v>440017.46</v>
      </c>
      <c r="O33" s="37" t="str">
        <f aca="false">IF(AND(N32&lt;0,N33&gt;=0,A33&lt;=MAX(120,Premissas!$B$15*12)),(A33-1)+(-N32)/M33,"")</f>
        <v/>
      </c>
      <c r="P33" s="9" t="n">
        <f aca="false">Resultados!$B$19*$B33-Resultados!$B$20*$B33-Premissas!$B$24-Resultados!$B$19*$B33*(Premissas!$B$14/100)</f>
        <v>24432.4</v>
      </c>
      <c r="Q33" s="9" t="n">
        <f aca="false">P33-$C33</f>
        <v>24432.4</v>
      </c>
      <c r="R33" s="9" t="n">
        <f aca="false">R32+Q33</f>
        <v>301098.68</v>
      </c>
      <c r="S33" s="37" t="str">
        <f aca="false">IF(AND(R32&lt;0,R33&gt;=0,A33&lt;=MAX(120,Premissas!$B$15*12)),(A33-1)+(-R32)/Q33,"")</f>
        <v/>
      </c>
    </row>
    <row r="34" customFormat="false" ht="15" hidden="false" customHeight="false" outlineLevel="0" collapsed="false">
      <c r="A34" s="10" t="n">
        <f aca="false">A33+1</f>
        <v>30</v>
      </c>
      <c r="B34" s="36" t="n">
        <f aca="false">IF(Premissas!$B$9&lt;=1,1,MIN(1,Premissas!$B$8/100+(1-Premissas!$B$8/100)*(A34-1)/(Premissas!$B$9-1)))</f>
        <v>1</v>
      </c>
      <c r="C34" s="9" t="n">
        <f aca="false">IF(A34&lt;=Resultados!$B$9,Resultados!$B$10,0)</f>
        <v>0</v>
      </c>
      <c r="D34" s="9" t="n">
        <f aca="false">Resultados!$E$37*$B34-Resultados!$F$37*$B34-Premissas!$B$24-Resultados!$E$37*$B34*(Premissas!$B$14/100)</f>
        <v>19027</v>
      </c>
      <c r="E34" s="9" t="n">
        <f aca="false">D34-$C34</f>
        <v>19027</v>
      </c>
      <c r="F34" s="9" t="n">
        <f aca="false">F33+E34</f>
        <v>181206.9</v>
      </c>
      <c r="G34" s="37" t="str">
        <f aca="false">IF(AND(F33&lt;0,F34&gt;=0,A34&lt;=MAX(120,Premissas!$B$15*12)),(A34-1)+(-F33)/E34,"")</f>
        <v/>
      </c>
      <c r="H34" s="9" t="n">
        <f aca="false">Resultados!$E$38*$B34-Resultados!$F$38*$B34-Premissas!$B$24-Resultados!$E$38*$B34*(Premissas!$B$14/100)</f>
        <v>24432.4</v>
      </c>
      <c r="I34" s="9" t="n">
        <f aca="false">H34-$C34</f>
        <v>24432.4</v>
      </c>
      <c r="J34" s="9" t="n">
        <f aca="false">J33+I34</f>
        <v>325531.08</v>
      </c>
      <c r="K34" s="37" t="str">
        <f aca="false">IF(AND(J33&lt;0,J34&gt;=0,A34&lt;=MAX(120,Premissas!$B$15*12)),(A34-1)+(-J33)/I34,"")</f>
        <v/>
      </c>
      <c r="L34" s="9" t="n">
        <f aca="false">Resultados!$E$39*$B34-Resultados!$F$39*$B34-Premissas!$B$24-Resultados!$E$39*$B34*(Premissas!$B$14/100)</f>
        <v>29837.8</v>
      </c>
      <c r="M34" s="9" t="n">
        <f aca="false">L34-$C34</f>
        <v>29837.8</v>
      </c>
      <c r="N34" s="9" t="n">
        <f aca="false">N33+M34</f>
        <v>469855.26</v>
      </c>
      <c r="O34" s="37" t="str">
        <f aca="false">IF(AND(N33&lt;0,N34&gt;=0,A34&lt;=MAX(120,Premissas!$B$15*12)),(A34-1)+(-N33)/M34,"")</f>
        <v/>
      </c>
      <c r="P34" s="9" t="n">
        <f aca="false">Resultados!$B$19*$B34-Resultados!$B$20*$B34-Premissas!$B$24-Resultados!$B$19*$B34*(Premissas!$B$14/100)</f>
        <v>24432.4</v>
      </c>
      <c r="Q34" s="9" t="n">
        <f aca="false">P34-$C34</f>
        <v>24432.4</v>
      </c>
      <c r="R34" s="9" t="n">
        <f aca="false">R33+Q34</f>
        <v>325531.08</v>
      </c>
      <c r="S34" s="37" t="str">
        <f aca="false">IF(AND(R33&lt;0,R34&gt;=0,A34&lt;=MAX(120,Premissas!$B$15*12)),(A34-1)+(-R33)/Q34,"")</f>
        <v/>
      </c>
    </row>
    <row r="35" customFormat="false" ht="15" hidden="false" customHeight="false" outlineLevel="0" collapsed="false">
      <c r="A35" s="10" t="n">
        <f aca="false">A34+1</f>
        <v>31</v>
      </c>
      <c r="B35" s="36" t="n">
        <f aca="false">IF(Premissas!$B$9&lt;=1,1,MIN(1,Premissas!$B$8/100+(1-Premissas!$B$8/100)*(A35-1)/(Premissas!$B$9-1)))</f>
        <v>1</v>
      </c>
      <c r="C35" s="9" t="n">
        <f aca="false">IF(A35&lt;=Resultados!$B$9,Resultados!$B$10,0)</f>
        <v>0</v>
      </c>
      <c r="D35" s="9" t="n">
        <f aca="false">Resultados!$E$37*$B35-Resultados!$F$37*$B35-Premissas!$B$24-Resultados!$E$37*$B35*(Premissas!$B$14/100)</f>
        <v>19027</v>
      </c>
      <c r="E35" s="9" t="n">
        <f aca="false">D35-$C35</f>
        <v>19027</v>
      </c>
      <c r="F35" s="9" t="n">
        <f aca="false">F34+E35</f>
        <v>200233.9</v>
      </c>
      <c r="G35" s="37" t="str">
        <f aca="false">IF(AND(F34&lt;0,F35&gt;=0,A35&lt;=MAX(120,Premissas!$B$15*12)),(A35-1)+(-F34)/E35,"")</f>
        <v/>
      </c>
      <c r="H35" s="9" t="n">
        <f aca="false">Resultados!$E$38*$B35-Resultados!$F$38*$B35-Premissas!$B$24-Resultados!$E$38*$B35*(Premissas!$B$14/100)</f>
        <v>24432.4</v>
      </c>
      <c r="I35" s="9" t="n">
        <f aca="false">H35-$C35</f>
        <v>24432.4</v>
      </c>
      <c r="J35" s="9" t="n">
        <f aca="false">J34+I35</f>
        <v>349963.48</v>
      </c>
      <c r="K35" s="37" t="str">
        <f aca="false">IF(AND(J34&lt;0,J35&gt;=0,A35&lt;=MAX(120,Premissas!$B$15*12)),(A35-1)+(-J34)/I35,"")</f>
        <v/>
      </c>
      <c r="L35" s="9" t="n">
        <f aca="false">Resultados!$E$39*$B35-Resultados!$F$39*$B35-Premissas!$B$24-Resultados!$E$39*$B35*(Premissas!$B$14/100)</f>
        <v>29837.8</v>
      </c>
      <c r="M35" s="9" t="n">
        <f aca="false">L35-$C35</f>
        <v>29837.8</v>
      </c>
      <c r="N35" s="9" t="n">
        <f aca="false">N34+M35</f>
        <v>499693.06</v>
      </c>
      <c r="O35" s="37" t="str">
        <f aca="false">IF(AND(N34&lt;0,N35&gt;=0,A35&lt;=MAX(120,Premissas!$B$15*12)),(A35-1)+(-N34)/M35,"")</f>
        <v/>
      </c>
      <c r="P35" s="9" t="n">
        <f aca="false">Resultados!$B$19*$B35-Resultados!$B$20*$B35-Premissas!$B$24-Resultados!$B$19*$B35*(Premissas!$B$14/100)</f>
        <v>24432.4</v>
      </c>
      <c r="Q35" s="9" t="n">
        <f aca="false">P35-$C35</f>
        <v>24432.4</v>
      </c>
      <c r="R35" s="9" t="n">
        <f aca="false">R34+Q35</f>
        <v>349963.48</v>
      </c>
      <c r="S35" s="37" t="str">
        <f aca="false">IF(AND(R34&lt;0,R35&gt;=0,A35&lt;=MAX(120,Premissas!$B$15*12)),(A35-1)+(-R34)/Q35,"")</f>
        <v/>
      </c>
    </row>
    <row r="36" customFormat="false" ht="15" hidden="false" customHeight="false" outlineLevel="0" collapsed="false">
      <c r="A36" s="10" t="n">
        <f aca="false">A35+1</f>
        <v>32</v>
      </c>
      <c r="B36" s="36" t="n">
        <f aca="false">IF(Premissas!$B$9&lt;=1,1,MIN(1,Premissas!$B$8/100+(1-Premissas!$B$8/100)*(A36-1)/(Premissas!$B$9-1)))</f>
        <v>1</v>
      </c>
      <c r="C36" s="9" t="n">
        <f aca="false">IF(A36&lt;=Resultados!$B$9,Resultados!$B$10,0)</f>
        <v>0</v>
      </c>
      <c r="D36" s="9" t="n">
        <f aca="false">Resultados!$E$37*$B36-Resultados!$F$37*$B36-Premissas!$B$24-Resultados!$E$37*$B36*(Premissas!$B$14/100)</f>
        <v>19027</v>
      </c>
      <c r="E36" s="9" t="n">
        <f aca="false">D36-$C36</f>
        <v>19027</v>
      </c>
      <c r="F36" s="9" t="n">
        <f aca="false">F35+E36</f>
        <v>219260.9</v>
      </c>
      <c r="G36" s="37" t="str">
        <f aca="false">IF(AND(F35&lt;0,F36&gt;=0,A36&lt;=MAX(120,Premissas!$B$15*12)),(A36-1)+(-F35)/E36,"")</f>
        <v/>
      </c>
      <c r="H36" s="9" t="n">
        <f aca="false">Resultados!$E$38*$B36-Resultados!$F$38*$B36-Premissas!$B$24-Resultados!$E$38*$B36*(Premissas!$B$14/100)</f>
        <v>24432.4</v>
      </c>
      <c r="I36" s="9" t="n">
        <f aca="false">H36-$C36</f>
        <v>24432.4</v>
      </c>
      <c r="J36" s="9" t="n">
        <f aca="false">J35+I36</f>
        <v>374395.88</v>
      </c>
      <c r="K36" s="37" t="str">
        <f aca="false">IF(AND(J35&lt;0,J36&gt;=0,A36&lt;=MAX(120,Premissas!$B$15*12)),(A36-1)+(-J35)/I36,"")</f>
        <v/>
      </c>
      <c r="L36" s="9" t="n">
        <f aca="false">Resultados!$E$39*$B36-Resultados!$F$39*$B36-Premissas!$B$24-Resultados!$E$39*$B36*(Premissas!$B$14/100)</f>
        <v>29837.8</v>
      </c>
      <c r="M36" s="9" t="n">
        <f aca="false">L36-$C36</f>
        <v>29837.8</v>
      </c>
      <c r="N36" s="9" t="n">
        <f aca="false">N35+M36</f>
        <v>529530.86</v>
      </c>
      <c r="O36" s="37" t="str">
        <f aca="false">IF(AND(N35&lt;0,N36&gt;=0,A36&lt;=MAX(120,Premissas!$B$15*12)),(A36-1)+(-N35)/M36,"")</f>
        <v/>
      </c>
      <c r="P36" s="9" t="n">
        <f aca="false">Resultados!$B$19*$B36-Resultados!$B$20*$B36-Premissas!$B$24-Resultados!$B$19*$B36*(Premissas!$B$14/100)</f>
        <v>24432.4</v>
      </c>
      <c r="Q36" s="9" t="n">
        <f aca="false">P36-$C36</f>
        <v>24432.4</v>
      </c>
      <c r="R36" s="9" t="n">
        <f aca="false">R35+Q36</f>
        <v>374395.88</v>
      </c>
      <c r="S36" s="37" t="str">
        <f aca="false">IF(AND(R35&lt;0,R36&gt;=0,A36&lt;=MAX(120,Premissas!$B$15*12)),(A36-1)+(-R35)/Q36,"")</f>
        <v/>
      </c>
    </row>
    <row r="37" customFormat="false" ht="15" hidden="false" customHeight="false" outlineLevel="0" collapsed="false">
      <c r="A37" s="10" t="n">
        <f aca="false">A36+1</f>
        <v>33</v>
      </c>
      <c r="B37" s="36" t="n">
        <f aca="false">IF(Premissas!$B$9&lt;=1,1,MIN(1,Premissas!$B$8/100+(1-Premissas!$B$8/100)*(A37-1)/(Premissas!$B$9-1)))</f>
        <v>1</v>
      </c>
      <c r="C37" s="9" t="n">
        <f aca="false">IF(A37&lt;=Resultados!$B$9,Resultados!$B$10,0)</f>
        <v>0</v>
      </c>
      <c r="D37" s="9" t="n">
        <f aca="false">Resultados!$E$37*$B37-Resultados!$F$37*$B37-Premissas!$B$24-Resultados!$E$37*$B37*(Premissas!$B$14/100)</f>
        <v>19027</v>
      </c>
      <c r="E37" s="9" t="n">
        <f aca="false">D37-$C37</f>
        <v>19027</v>
      </c>
      <c r="F37" s="9" t="n">
        <f aca="false">F36+E37</f>
        <v>238287.9</v>
      </c>
      <c r="G37" s="37" t="str">
        <f aca="false">IF(AND(F36&lt;0,F37&gt;=0,A37&lt;=MAX(120,Premissas!$B$15*12)),(A37-1)+(-F36)/E37,"")</f>
        <v/>
      </c>
      <c r="H37" s="9" t="n">
        <f aca="false">Resultados!$E$38*$B37-Resultados!$F$38*$B37-Premissas!$B$24-Resultados!$E$38*$B37*(Premissas!$B$14/100)</f>
        <v>24432.4</v>
      </c>
      <c r="I37" s="9" t="n">
        <f aca="false">H37-$C37</f>
        <v>24432.4</v>
      </c>
      <c r="J37" s="9" t="n">
        <f aca="false">J36+I37</f>
        <v>398828.28</v>
      </c>
      <c r="K37" s="37" t="str">
        <f aca="false">IF(AND(J36&lt;0,J37&gt;=0,A37&lt;=MAX(120,Premissas!$B$15*12)),(A37-1)+(-J36)/I37,"")</f>
        <v/>
      </c>
      <c r="L37" s="9" t="n">
        <f aca="false">Resultados!$E$39*$B37-Resultados!$F$39*$B37-Premissas!$B$24-Resultados!$E$39*$B37*(Premissas!$B$14/100)</f>
        <v>29837.8</v>
      </c>
      <c r="M37" s="9" t="n">
        <f aca="false">L37-$C37</f>
        <v>29837.8</v>
      </c>
      <c r="N37" s="9" t="n">
        <f aca="false">N36+M37</f>
        <v>559368.66</v>
      </c>
      <c r="O37" s="37" t="str">
        <f aca="false">IF(AND(N36&lt;0,N37&gt;=0,A37&lt;=MAX(120,Premissas!$B$15*12)),(A37-1)+(-N36)/M37,"")</f>
        <v/>
      </c>
      <c r="P37" s="9" t="n">
        <f aca="false">Resultados!$B$19*$B37-Resultados!$B$20*$B37-Premissas!$B$24-Resultados!$B$19*$B37*(Premissas!$B$14/100)</f>
        <v>24432.4</v>
      </c>
      <c r="Q37" s="9" t="n">
        <f aca="false">P37-$C37</f>
        <v>24432.4</v>
      </c>
      <c r="R37" s="9" t="n">
        <f aca="false">R36+Q37</f>
        <v>398828.28</v>
      </c>
      <c r="S37" s="37" t="str">
        <f aca="false">IF(AND(R36&lt;0,R37&gt;=0,A37&lt;=MAX(120,Premissas!$B$15*12)),(A37-1)+(-R36)/Q37,"")</f>
        <v/>
      </c>
    </row>
    <row r="38" customFormat="false" ht="15" hidden="false" customHeight="false" outlineLevel="0" collapsed="false">
      <c r="A38" s="10" t="n">
        <f aca="false">A37+1</f>
        <v>34</v>
      </c>
      <c r="B38" s="36" t="n">
        <f aca="false">IF(Premissas!$B$9&lt;=1,1,MIN(1,Premissas!$B$8/100+(1-Premissas!$B$8/100)*(A38-1)/(Premissas!$B$9-1)))</f>
        <v>1</v>
      </c>
      <c r="C38" s="9" t="n">
        <f aca="false">IF(A38&lt;=Resultados!$B$9,Resultados!$B$10,0)</f>
        <v>0</v>
      </c>
      <c r="D38" s="9" t="n">
        <f aca="false">Resultados!$E$37*$B38-Resultados!$F$37*$B38-Premissas!$B$24-Resultados!$E$37*$B38*(Premissas!$B$14/100)</f>
        <v>19027</v>
      </c>
      <c r="E38" s="9" t="n">
        <f aca="false">D38-$C38</f>
        <v>19027</v>
      </c>
      <c r="F38" s="9" t="n">
        <f aca="false">F37+E38</f>
        <v>257314.9</v>
      </c>
      <c r="G38" s="37" t="str">
        <f aca="false">IF(AND(F37&lt;0,F38&gt;=0,A38&lt;=MAX(120,Premissas!$B$15*12)),(A38-1)+(-F37)/E38,"")</f>
        <v/>
      </c>
      <c r="H38" s="9" t="n">
        <f aca="false">Resultados!$E$38*$B38-Resultados!$F$38*$B38-Premissas!$B$24-Resultados!$E$38*$B38*(Premissas!$B$14/100)</f>
        <v>24432.4</v>
      </c>
      <c r="I38" s="9" t="n">
        <f aca="false">H38-$C38</f>
        <v>24432.4</v>
      </c>
      <c r="J38" s="9" t="n">
        <f aca="false">J37+I38</f>
        <v>423260.68</v>
      </c>
      <c r="K38" s="37" t="str">
        <f aca="false">IF(AND(J37&lt;0,J38&gt;=0,A38&lt;=MAX(120,Premissas!$B$15*12)),(A38-1)+(-J37)/I38,"")</f>
        <v/>
      </c>
      <c r="L38" s="9" t="n">
        <f aca="false">Resultados!$E$39*$B38-Resultados!$F$39*$B38-Premissas!$B$24-Resultados!$E$39*$B38*(Premissas!$B$14/100)</f>
        <v>29837.8</v>
      </c>
      <c r="M38" s="9" t="n">
        <f aca="false">L38-$C38</f>
        <v>29837.8</v>
      </c>
      <c r="N38" s="9" t="n">
        <f aca="false">N37+M38</f>
        <v>589206.46</v>
      </c>
      <c r="O38" s="37" t="str">
        <f aca="false">IF(AND(N37&lt;0,N38&gt;=0,A38&lt;=MAX(120,Premissas!$B$15*12)),(A38-1)+(-N37)/M38,"")</f>
        <v/>
      </c>
      <c r="P38" s="9" t="n">
        <f aca="false">Resultados!$B$19*$B38-Resultados!$B$20*$B38-Premissas!$B$24-Resultados!$B$19*$B38*(Premissas!$B$14/100)</f>
        <v>24432.4</v>
      </c>
      <c r="Q38" s="9" t="n">
        <f aca="false">P38-$C38</f>
        <v>24432.4</v>
      </c>
      <c r="R38" s="9" t="n">
        <f aca="false">R37+Q38</f>
        <v>423260.68</v>
      </c>
      <c r="S38" s="37" t="str">
        <f aca="false">IF(AND(R37&lt;0,R38&gt;=0,A38&lt;=MAX(120,Premissas!$B$15*12)),(A38-1)+(-R37)/Q38,"")</f>
        <v/>
      </c>
    </row>
    <row r="39" customFormat="false" ht="15" hidden="false" customHeight="false" outlineLevel="0" collapsed="false">
      <c r="A39" s="10" t="n">
        <f aca="false">A38+1</f>
        <v>35</v>
      </c>
      <c r="B39" s="36" t="n">
        <f aca="false">IF(Premissas!$B$9&lt;=1,1,MIN(1,Premissas!$B$8/100+(1-Premissas!$B$8/100)*(A39-1)/(Premissas!$B$9-1)))</f>
        <v>1</v>
      </c>
      <c r="C39" s="9" t="n">
        <f aca="false">IF(A39&lt;=Resultados!$B$9,Resultados!$B$10,0)</f>
        <v>0</v>
      </c>
      <c r="D39" s="9" t="n">
        <f aca="false">Resultados!$E$37*$B39-Resultados!$F$37*$B39-Premissas!$B$24-Resultados!$E$37*$B39*(Premissas!$B$14/100)</f>
        <v>19027</v>
      </c>
      <c r="E39" s="9" t="n">
        <f aca="false">D39-$C39</f>
        <v>19027</v>
      </c>
      <c r="F39" s="9" t="n">
        <f aca="false">F38+E39</f>
        <v>276341.9</v>
      </c>
      <c r="G39" s="37" t="str">
        <f aca="false">IF(AND(F38&lt;0,F39&gt;=0,A39&lt;=MAX(120,Premissas!$B$15*12)),(A39-1)+(-F38)/E39,"")</f>
        <v/>
      </c>
      <c r="H39" s="9" t="n">
        <f aca="false">Resultados!$E$38*$B39-Resultados!$F$38*$B39-Premissas!$B$24-Resultados!$E$38*$B39*(Premissas!$B$14/100)</f>
        <v>24432.4</v>
      </c>
      <c r="I39" s="9" t="n">
        <f aca="false">H39-$C39</f>
        <v>24432.4</v>
      </c>
      <c r="J39" s="9" t="n">
        <f aca="false">J38+I39</f>
        <v>447693.08</v>
      </c>
      <c r="K39" s="37" t="str">
        <f aca="false">IF(AND(J38&lt;0,J39&gt;=0,A39&lt;=MAX(120,Premissas!$B$15*12)),(A39-1)+(-J38)/I39,"")</f>
        <v/>
      </c>
      <c r="L39" s="9" t="n">
        <f aca="false">Resultados!$E$39*$B39-Resultados!$F$39*$B39-Premissas!$B$24-Resultados!$E$39*$B39*(Premissas!$B$14/100)</f>
        <v>29837.8</v>
      </c>
      <c r="M39" s="9" t="n">
        <f aca="false">L39-$C39</f>
        <v>29837.8</v>
      </c>
      <c r="N39" s="9" t="n">
        <f aca="false">N38+M39</f>
        <v>619044.26</v>
      </c>
      <c r="O39" s="37" t="str">
        <f aca="false">IF(AND(N38&lt;0,N39&gt;=0,A39&lt;=MAX(120,Premissas!$B$15*12)),(A39-1)+(-N38)/M39,"")</f>
        <v/>
      </c>
      <c r="P39" s="9" t="n">
        <f aca="false">Resultados!$B$19*$B39-Resultados!$B$20*$B39-Premissas!$B$24-Resultados!$B$19*$B39*(Premissas!$B$14/100)</f>
        <v>24432.4</v>
      </c>
      <c r="Q39" s="9" t="n">
        <f aca="false">P39-$C39</f>
        <v>24432.4</v>
      </c>
      <c r="R39" s="9" t="n">
        <f aca="false">R38+Q39</f>
        <v>447693.08</v>
      </c>
      <c r="S39" s="37" t="str">
        <f aca="false">IF(AND(R38&lt;0,R39&gt;=0,A39&lt;=MAX(120,Premissas!$B$15*12)),(A39-1)+(-R38)/Q39,"")</f>
        <v/>
      </c>
    </row>
    <row r="40" customFormat="false" ht="15" hidden="false" customHeight="false" outlineLevel="0" collapsed="false">
      <c r="A40" s="10" t="n">
        <f aca="false">A39+1</f>
        <v>36</v>
      </c>
      <c r="B40" s="36" t="n">
        <f aca="false">IF(Premissas!$B$9&lt;=1,1,MIN(1,Premissas!$B$8/100+(1-Premissas!$B$8/100)*(A40-1)/(Premissas!$B$9-1)))</f>
        <v>1</v>
      </c>
      <c r="C40" s="9" t="n">
        <f aca="false">IF(A40&lt;=Resultados!$B$9,Resultados!$B$10,0)</f>
        <v>0</v>
      </c>
      <c r="D40" s="9" t="n">
        <f aca="false">Resultados!$E$37*$B40-Resultados!$F$37*$B40-Premissas!$B$24-Resultados!$E$37*$B40*(Premissas!$B$14/100)</f>
        <v>19027</v>
      </c>
      <c r="E40" s="9" t="n">
        <f aca="false">D40-$C40</f>
        <v>19027</v>
      </c>
      <c r="F40" s="9" t="n">
        <f aca="false">F39+E40</f>
        <v>295368.9</v>
      </c>
      <c r="G40" s="37" t="str">
        <f aca="false">IF(AND(F39&lt;0,F40&gt;=0,A40&lt;=MAX(120,Premissas!$B$15*12)),(A40-1)+(-F39)/E40,"")</f>
        <v/>
      </c>
      <c r="H40" s="9" t="n">
        <f aca="false">Resultados!$E$38*$B40-Resultados!$F$38*$B40-Premissas!$B$24-Resultados!$E$38*$B40*(Premissas!$B$14/100)</f>
        <v>24432.4</v>
      </c>
      <c r="I40" s="9" t="n">
        <f aca="false">H40-$C40</f>
        <v>24432.4</v>
      </c>
      <c r="J40" s="9" t="n">
        <f aca="false">J39+I40</f>
        <v>472125.48</v>
      </c>
      <c r="K40" s="37" t="str">
        <f aca="false">IF(AND(J39&lt;0,J40&gt;=0,A40&lt;=MAX(120,Premissas!$B$15*12)),(A40-1)+(-J39)/I40,"")</f>
        <v/>
      </c>
      <c r="L40" s="9" t="n">
        <f aca="false">Resultados!$E$39*$B40-Resultados!$F$39*$B40-Premissas!$B$24-Resultados!$E$39*$B40*(Premissas!$B$14/100)</f>
        <v>29837.8</v>
      </c>
      <c r="M40" s="9" t="n">
        <f aca="false">L40-$C40</f>
        <v>29837.8</v>
      </c>
      <c r="N40" s="9" t="n">
        <f aca="false">N39+M40</f>
        <v>648882.06</v>
      </c>
      <c r="O40" s="37" t="str">
        <f aca="false">IF(AND(N39&lt;0,N40&gt;=0,A40&lt;=MAX(120,Premissas!$B$15*12)),(A40-1)+(-N39)/M40,"")</f>
        <v/>
      </c>
      <c r="P40" s="9" t="n">
        <f aca="false">Resultados!$B$19*$B40-Resultados!$B$20*$B40-Premissas!$B$24-Resultados!$B$19*$B40*(Premissas!$B$14/100)</f>
        <v>24432.4</v>
      </c>
      <c r="Q40" s="9" t="n">
        <f aca="false">P40-$C40</f>
        <v>24432.4</v>
      </c>
      <c r="R40" s="9" t="n">
        <f aca="false">R39+Q40</f>
        <v>472125.48</v>
      </c>
      <c r="S40" s="37" t="str">
        <f aca="false">IF(AND(R39&lt;0,R40&gt;=0,A40&lt;=MAX(120,Premissas!$B$15*12)),(A40-1)+(-R39)/Q40,"")</f>
        <v/>
      </c>
    </row>
    <row r="41" customFormat="false" ht="15" hidden="false" customHeight="false" outlineLevel="0" collapsed="false">
      <c r="A41" s="10" t="n">
        <f aca="false">A40+1</f>
        <v>37</v>
      </c>
      <c r="B41" s="36" t="n">
        <f aca="false">IF(Premissas!$B$9&lt;=1,1,MIN(1,Premissas!$B$8/100+(1-Premissas!$B$8/100)*(A41-1)/(Premissas!$B$9-1)))</f>
        <v>1</v>
      </c>
      <c r="C41" s="9" t="n">
        <f aca="false">IF(A41&lt;=Resultados!$B$9,Resultados!$B$10,0)</f>
        <v>0</v>
      </c>
      <c r="D41" s="9" t="n">
        <f aca="false">Resultados!$E$37*$B41-Resultados!$F$37*$B41-Premissas!$B$24-Resultados!$E$37*$B41*(Premissas!$B$14/100)</f>
        <v>19027</v>
      </c>
      <c r="E41" s="9" t="n">
        <f aca="false">D41-$C41</f>
        <v>19027</v>
      </c>
      <c r="F41" s="9" t="n">
        <f aca="false">F40+E41</f>
        <v>314395.9</v>
      </c>
      <c r="G41" s="37" t="str">
        <f aca="false">IF(AND(F40&lt;0,F41&gt;=0,A41&lt;=MAX(120,Premissas!$B$15*12)),(A41-1)+(-F40)/E41,"")</f>
        <v/>
      </c>
      <c r="H41" s="9" t="n">
        <f aca="false">Resultados!$E$38*$B41-Resultados!$F$38*$B41-Premissas!$B$24-Resultados!$E$38*$B41*(Premissas!$B$14/100)</f>
        <v>24432.4</v>
      </c>
      <c r="I41" s="9" t="n">
        <f aca="false">H41-$C41</f>
        <v>24432.4</v>
      </c>
      <c r="J41" s="9" t="n">
        <f aca="false">J40+I41</f>
        <v>496557.88</v>
      </c>
      <c r="K41" s="37" t="str">
        <f aca="false">IF(AND(J40&lt;0,J41&gt;=0,A41&lt;=MAX(120,Premissas!$B$15*12)),(A41-1)+(-J40)/I41,"")</f>
        <v/>
      </c>
      <c r="L41" s="9" t="n">
        <f aca="false">Resultados!$E$39*$B41-Resultados!$F$39*$B41-Premissas!$B$24-Resultados!$E$39*$B41*(Premissas!$B$14/100)</f>
        <v>29837.8</v>
      </c>
      <c r="M41" s="9" t="n">
        <f aca="false">L41-$C41</f>
        <v>29837.8</v>
      </c>
      <c r="N41" s="9" t="n">
        <f aca="false">N40+M41</f>
        <v>678719.86</v>
      </c>
      <c r="O41" s="37" t="str">
        <f aca="false">IF(AND(N40&lt;0,N41&gt;=0,A41&lt;=MAX(120,Premissas!$B$15*12)),(A41-1)+(-N40)/M41,"")</f>
        <v/>
      </c>
      <c r="P41" s="9" t="n">
        <f aca="false">Resultados!$B$19*$B41-Resultados!$B$20*$B41-Premissas!$B$24-Resultados!$B$19*$B41*(Premissas!$B$14/100)</f>
        <v>24432.4</v>
      </c>
      <c r="Q41" s="9" t="n">
        <f aca="false">P41-$C41</f>
        <v>24432.4</v>
      </c>
      <c r="R41" s="9" t="n">
        <f aca="false">R40+Q41</f>
        <v>496557.88</v>
      </c>
      <c r="S41" s="37" t="str">
        <f aca="false">IF(AND(R40&lt;0,R41&gt;=0,A41&lt;=MAX(120,Premissas!$B$15*12)),(A41-1)+(-R40)/Q41,"")</f>
        <v/>
      </c>
    </row>
    <row r="42" customFormat="false" ht="15" hidden="false" customHeight="false" outlineLevel="0" collapsed="false">
      <c r="A42" s="10" t="n">
        <f aca="false">A41+1</f>
        <v>38</v>
      </c>
      <c r="B42" s="36" t="n">
        <f aca="false">IF(Premissas!$B$9&lt;=1,1,MIN(1,Premissas!$B$8/100+(1-Premissas!$B$8/100)*(A42-1)/(Premissas!$B$9-1)))</f>
        <v>1</v>
      </c>
      <c r="C42" s="9" t="n">
        <f aca="false">IF(A42&lt;=Resultados!$B$9,Resultados!$B$10,0)</f>
        <v>0</v>
      </c>
      <c r="D42" s="9" t="n">
        <f aca="false">Resultados!$E$37*$B42-Resultados!$F$37*$B42-Premissas!$B$24-Resultados!$E$37*$B42*(Premissas!$B$14/100)</f>
        <v>19027</v>
      </c>
      <c r="E42" s="9" t="n">
        <f aca="false">D42-$C42</f>
        <v>19027</v>
      </c>
      <c r="F42" s="9" t="n">
        <f aca="false">F41+E42</f>
        <v>333422.9</v>
      </c>
      <c r="G42" s="37" t="str">
        <f aca="false">IF(AND(F41&lt;0,F42&gt;=0,A42&lt;=MAX(120,Premissas!$B$15*12)),(A42-1)+(-F41)/E42,"")</f>
        <v/>
      </c>
      <c r="H42" s="9" t="n">
        <f aca="false">Resultados!$E$38*$B42-Resultados!$F$38*$B42-Premissas!$B$24-Resultados!$E$38*$B42*(Premissas!$B$14/100)</f>
        <v>24432.4</v>
      </c>
      <c r="I42" s="9" t="n">
        <f aca="false">H42-$C42</f>
        <v>24432.4</v>
      </c>
      <c r="J42" s="9" t="n">
        <f aca="false">J41+I42</f>
        <v>520990.28</v>
      </c>
      <c r="K42" s="37" t="str">
        <f aca="false">IF(AND(J41&lt;0,J42&gt;=0,A42&lt;=MAX(120,Premissas!$B$15*12)),(A42-1)+(-J41)/I42,"")</f>
        <v/>
      </c>
      <c r="L42" s="9" t="n">
        <f aca="false">Resultados!$E$39*$B42-Resultados!$F$39*$B42-Premissas!$B$24-Resultados!$E$39*$B42*(Premissas!$B$14/100)</f>
        <v>29837.8</v>
      </c>
      <c r="M42" s="9" t="n">
        <f aca="false">L42-$C42</f>
        <v>29837.8</v>
      </c>
      <c r="N42" s="9" t="n">
        <f aca="false">N41+M42</f>
        <v>708557.66</v>
      </c>
      <c r="O42" s="37" t="str">
        <f aca="false">IF(AND(N41&lt;0,N42&gt;=0,A42&lt;=MAX(120,Premissas!$B$15*12)),(A42-1)+(-N41)/M42,"")</f>
        <v/>
      </c>
      <c r="P42" s="9" t="n">
        <f aca="false">Resultados!$B$19*$B42-Resultados!$B$20*$B42-Premissas!$B$24-Resultados!$B$19*$B42*(Premissas!$B$14/100)</f>
        <v>24432.4</v>
      </c>
      <c r="Q42" s="9" t="n">
        <f aca="false">P42-$C42</f>
        <v>24432.4</v>
      </c>
      <c r="R42" s="9" t="n">
        <f aca="false">R41+Q42</f>
        <v>520990.28</v>
      </c>
      <c r="S42" s="37" t="str">
        <f aca="false">IF(AND(R41&lt;0,R42&gt;=0,A42&lt;=MAX(120,Premissas!$B$15*12)),(A42-1)+(-R41)/Q42,"")</f>
        <v/>
      </c>
    </row>
    <row r="43" customFormat="false" ht="15" hidden="false" customHeight="false" outlineLevel="0" collapsed="false">
      <c r="A43" s="10" t="n">
        <f aca="false">A42+1</f>
        <v>39</v>
      </c>
      <c r="B43" s="36" t="n">
        <f aca="false">IF(Premissas!$B$9&lt;=1,1,MIN(1,Premissas!$B$8/100+(1-Premissas!$B$8/100)*(A43-1)/(Premissas!$B$9-1)))</f>
        <v>1</v>
      </c>
      <c r="C43" s="9" t="n">
        <f aca="false">IF(A43&lt;=Resultados!$B$9,Resultados!$B$10,0)</f>
        <v>0</v>
      </c>
      <c r="D43" s="9" t="n">
        <f aca="false">Resultados!$E$37*$B43-Resultados!$F$37*$B43-Premissas!$B$24-Resultados!$E$37*$B43*(Premissas!$B$14/100)</f>
        <v>19027</v>
      </c>
      <c r="E43" s="9" t="n">
        <f aca="false">D43-$C43</f>
        <v>19027</v>
      </c>
      <c r="F43" s="9" t="n">
        <f aca="false">F42+E43</f>
        <v>352449.9</v>
      </c>
      <c r="G43" s="37" t="str">
        <f aca="false">IF(AND(F42&lt;0,F43&gt;=0,A43&lt;=MAX(120,Premissas!$B$15*12)),(A43-1)+(-F42)/E43,"")</f>
        <v/>
      </c>
      <c r="H43" s="9" t="n">
        <f aca="false">Resultados!$E$38*$B43-Resultados!$F$38*$B43-Premissas!$B$24-Resultados!$E$38*$B43*(Premissas!$B$14/100)</f>
        <v>24432.4</v>
      </c>
      <c r="I43" s="9" t="n">
        <f aca="false">H43-$C43</f>
        <v>24432.4</v>
      </c>
      <c r="J43" s="9" t="n">
        <f aca="false">J42+I43</f>
        <v>545422.68</v>
      </c>
      <c r="K43" s="37" t="str">
        <f aca="false">IF(AND(J42&lt;0,J43&gt;=0,A43&lt;=MAX(120,Premissas!$B$15*12)),(A43-1)+(-J42)/I43,"")</f>
        <v/>
      </c>
      <c r="L43" s="9" t="n">
        <f aca="false">Resultados!$E$39*$B43-Resultados!$F$39*$B43-Premissas!$B$24-Resultados!$E$39*$B43*(Premissas!$B$14/100)</f>
        <v>29837.8</v>
      </c>
      <c r="M43" s="9" t="n">
        <f aca="false">L43-$C43</f>
        <v>29837.8</v>
      </c>
      <c r="N43" s="9" t="n">
        <f aca="false">N42+M43</f>
        <v>738395.46</v>
      </c>
      <c r="O43" s="37" t="str">
        <f aca="false">IF(AND(N42&lt;0,N43&gt;=0,A43&lt;=MAX(120,Premissas!$B$15*12)),(A43-1)+(-N42)/M43,"")</f>
        <v/>
      </c>
      <c r="P43" s="9" t="n">
        <f aca="false">Resultados!$B$19*$B43-Resultados!$B$20*$B43-Premissas!$B$24-Resultados!$B$19*$B43*(Premissas!$B$14/100)</f>
        <v>24432.4</v>
      </c>
      <c r="Q43" s="9" t="n">
        <f aca="false">P43-$C43</f>
        <v>24432.4</v>
      </c>
      <c r="R43" s="9" t="n">
        <f aca="false">R42+Q43</f>
        <v>545422.68</v>
      </c>
      <c r="S43" s="37" t="str">
        <f aca="false">IF(AND(R42&lt;0,R43&gt;=0,A43&lt;=MAX(120,Premissas!$B$15*12)),(A43-1)+(-R42)/Q43,"")</f>
        <v/>
      </c>
    </row>
    <row r="44" customFormat="false" ht="15" hidden="false" customHeight="false" outlineLevel="0" collapsed="false">
      <c r="A44" s="10" t="n">
        <f aca="false">A43+1</f>
        <v>40</v>
      </c>
      <c r="B44" s="36" t="n">
        <f aca="false">IF(Premissas!$B$9&lt;=1,1,MIN(1,Premissas!$B$8/100+(1-Premissas!$B$8/100)*(A44-1)/(Premissas!$B$9-1)))</f>
        <v>1</v>
      </c>
      <c r="C44" s="9" t="n">
        <f aca="false">IF(A44&lt;=Resultados!$B$9,Resultados!$B$10,0)</f>
        <v>0</v>
      </c>
      <c r="D44" s="9" t="n">
        <f aca="false">Resultados!$E$37*$B44-Resultados!$F$37*$B44-Premissas!$B$24-Resultados!$E$37*$B44*(Premissas!$B$14/100)</f>
        <v>19027</v>
      </c>
      <c r="E44" s="9" t="n">
        <f aca="false">D44-$C44</f>
        <v>19027</v>
      </c>
      <c r="F44" s="9" t="n">
        <f aca="false">F43+E44</f>
        <v>371476.9</v>
      </c>
      <c r="G44" s="37" t="str">
        <f aca="false">IF(AND(F43&lt;0,F44&gt;=0,A44&lt;=MAX(120,Premissas!$B$15*12)),(A44-1)+(-F43)/E44,"")</f>
        <v/>
      </c>
      <c r="H44" s="9" t="n">
        <f aca="false">Resultados!$E$38*$B44-Resultados!$F$38*$B44-Premissas!$B$24-Resultados!$E$38*$B44*(Premissas!$B$14/100)</f>
        <v>24432.4</v>
      </c>
      <c r="I44" s="9" t="n">
        <f aca="false">H44-$C44</f>
        <v>24432.4</v>
      </c>
      <c r="J44" s="9" t="n">
        <f aca="false">J43+I44</f>
        <v>569855.08</v>
      </c>
      <c r="K44" s="37" t="str">
        <f aca="false">IF(AND(J43&lt;0,J44&gt;=0,A44&lt;=MAX(120,Premissas!$B$15*12)),(A44-1)+(-J43)/I44,"")</f>
        <v/>
      </c>
      <c r="L44" s="9" t="n">
        <f aca="false">Resultados!$E$39*$B44-Resultados!$F$39*$B44-Premissas!$B$24-Resultados!$E$39*$B44*(Premissas!$B$14/100)</f>
        <v>29837.8</v>
      </c>
      <c r="M44" s="9" t="n">
        <f aca="false">L44-$C44</f>
        <v>29837.8</v>
      </c>
      <c r="N44" s="9" t="n">
        <f aca="false">N43+M44</f>
        <v>768233.26</v>
      </c>
      <c r="O44" s="37" t="str">
        <f aca="false">IF(AND(N43&lt;0,N44&gt;=0,A44&lt;=MAX(120,Premissas!$B$15*12)),(A44-1)+(-N43)/M44,"")</f>
        <v/>
      </c>
      <c r="P44" s="9" t="n">
        <f aca="false">Resultados!$B$19*$B44-Resultados!$B$20*$B44-Premissas!$B$24-Resultados!$B$19*$B44*(Premissas!$B$14/100)</f>
        <v>24432.4</v>
      </c>
      <c r="Q44" s="9" t="n">
        <f aca="false">P44-$C44</f>
        <v>24432.4</v>
      </c>
      <c r="R44" s="9" t="n">
        <f aca="false">R43+Q44</f>
        <v>569855.08</v>
      </c>
      <c r="S44" s="37" t="str">
        <f aca="false">IF(AND(R43&lt;0,R44&gt;=0,A44&lt;=MAX(120,Premissas!$B$15*12)),(A44-1)+(-R43)/Q44,"")</f>
        <v/>
      </c>
    </row>
    <row r="45" customFormat="false" ht="15" hidden="false" customHeight="false" outlineLevel="0" collapsed="false">
      <c r="A45" s="10" t="n">
        <f aca="false">A44+1</f>
        <v>41</v>
      </c>
      <c r="B45" s="36" t="n">
        <f aca="false">IF(Premissas!$B$9&lt;=1,1,MIN(1,Premissas!$B$8/100+(1-Premissas!$B$8/100)*(A45-1)/(Premissas!$B$9-1)))</f>
        <v>1</v>
      </c>
      <c r="C45" s="9" t="n">
        <f aca="false">IF(A45&lt;=Resultados!$B$9,Resultados!$B$10,0)</f>
        <v>0</v>
      </c>
      <c r="D45" s="9" t="n">
        <f aca="false">Resultados!$E$37*$B45-Resultados!$F$37*$B45-Premissas!$B$24-Resultados!$E$37*$B45*(Premissas!$B$14/100)</f>
        <v>19027</v>
      </c>
      <c r="E45" s="9" t="n">
        <f aca="false">D45-$C45</f>
        <v>19027</v>
      </c>
      <c r="F45" s="9" t="n">
        <f aca="false">F44+E45</f>
        <v>390503.9</v>
      </c>
      <c r="G45" s="37" t="str">
        <f aca="false">IF(AND(F44&lt;0,F45&gt;=0,A45&lt;=MAX(120,Premissas!$B$15*12)),(A45-1)+(-F44)/E45,"")</f>
        <v/>
      </c>
      <c r="H45" s="9" t="n">
        <f aca="false">Resultados!$E$38*$B45-Resultados!$F$38*$B45-Premissas!$B$24-Resultados!$E$38*$B45*(Premissas!$B$14/100)</f>
        <v>24432.4</v>
      </c>
      <c r="I45" s="9" t="n">
        <f aca="false">H45-$C45</f>
        <v>24432.4</v>
      </c>
      <c r="J45" s="9" t="n">
        <f aca="false">J44+I45</f>
        <v>594287.48</v>
      </c>
      <c r="K45" s="37" t="str">
        <f aca="false">IF(AND(J44&lt;0,J45&gt;=0,A45&lt;=MAX(120,Premissas!$B$15*12)),(A45-1)+(-J44)/I45,"")</f>
        <v/>
      </c>
      <c r="L45" s="9" t="n">
        <f aca="false">Resultados!$E$39*$B45-Resultados!$F$39*$B45-Premissas!$B$24-Resultados!$E$39*$B45*(Premissas!$B$14/100)</f>
        <v>29837.8</v>
      </c>
      <c r="M45" s="9" t="n">
        <f aca="false">L45-$C45</f>
        <v>29837.8</v>
      </c>
      <c r="N45" s="9" t="n">
        <f aca="false">N44+M45</f>
        <v>798071.06</v>
      </c>
      <c r="O45" s="37" t="str">
        <f aca="false">IF(AND(N44&lt;0,N45&gt;=0,A45&lt;=MAX(120,Premissas!$B$15*12)),(A45-1)+(-N44)/M45,"")</f>
        <v/>
      </c>
      <c r="P45" s="9" t="n">
        <f aca="false">Resultados!$B$19*$B45-Resultados!$B$20*$B45-Premissas!$B$24-Resultados!$B$19*$B45*(Premissas!$B$14/100)</f>
        <v>24432.4</v>
      </c>
      <c r="Q45" s="9" t="n">
        <f aca="false">P45-$C45</f>
        <v>24432.4</v>
      </c>
      <c r="R45" s="9" t="n">
        <f aca="false">R44+Q45</f>
        <v>594287.48</v>
      </c>
      <c r="S45" s="37" t="str">
        <f aca="false">IF(AND(R44&lt;0,R45&gt;=0,A45&lt;=MAX(120,Premissas!$B$15*12)),(A45-1)+(-R44)/Q45,"")</f>
        <v/>
      </c>
    </row>
    <row r="46" customFormat="false" ht="15" hidden="false" customHeight="false" outlineLevel="0" collapsed="false">
      <c r="A46" s="10" t="n">
        <f aca="false">A45+1</f>
        <v>42</v>
      </c>
      <c r="B46" s="36" t="n">
        <f aca="false">IF(Premissas!$B$9&lt;=1,1,MIN(1,Premissas!$B$8/100+(1-Premissas!$B$8/100)*(A46-1)/(Premissas!$B$9-1)))</f>
        <v>1</v>
      </c>
      <c r="C46" s="9" t="n">
        <f aca="false">IF(A46&lt;=Resultados!$B$9,Resultados!$B$10,0)</f>
        <v>0</v>
      </c>
      <c r="D46" s="9" t="n">
        <f aca="false">Resultados!$E$37*$B46-Resultados!$F$37*$B46-Premissas!$B$24-Resultados!$E$37*$B46*(Premissas!$B$14/100)</f>
        <v>19027</v>
      </c>
      <c r="E46" s="9" t="n">
        <f aca="false">D46-$C46</f>
        <v>19027</v>
      </c>
      <c r="F46" s="9" t="n">
        <f aca="false">F45+E46</f>
        <v>409530.9</v>
      </c>
      <c r="G46" s="37" t="str">
        <f aca="false">IF(AND(F45&lt;0,F46&gt;=0,A46&lt;=MAX(120,Premissas!$B$15*12)),(A46-1)+(-F45)/E46,"")</f>
        <v/>
      </c>
      <c r="H46" s="9" t="n">
        <f aca="false">Resultados!$E$38*$B46-Resultados!$F$38*$B46-Premissas!$B$24-Resultados!$E$38*$B46*(Premissas!$B$14/100)</f>
        <v>24432.4</v>
      </c>
      <c r="I46" s="9" t="n">
        <f aca="false">H46-$C46</f>
        <v>24432.4</v>
      </c>
      <c r="J46" s="9" t="n">
        <f aca="false">J45+I46</f>
        <v>618719.88</v>
      </c>
      <c r="K46" s="37" t="str">
        <f aca="false">IF(AND(J45&lt;0,J46&gt;=0,A46&lt;=MAX(120,Premissas!$B$15*12)),(A46-1)+(-J45)/I46,"")</f>
        <v/>
      </c>
      <c r="L46" s="9" t="n">
        <f aca="false">Resultados!$E$39*$B46-Resultados!$F$39*$B46-Premissas!$B$24-Resultados!$E$39*$B46*(Premissas!$B$14/100)</f>
        <v>29837.8</v>
      </c>
      <c r="M46" s="9" t="n">
        <f aca="false">L46-$C46</f>
        <v>29837.8</v>
      </c>
      <c r="N46" s="9" t="n">
        <f aca="false">N45+M46</f>
        <v>827908.86</v>
      </c>
      <c r="O46" s="37" t="str">
        <f aca="false">IF(AND(N45&lt;0,N46&gt;=0,A46&lt;=MAX(120,Premissas!$B$15*12)),(A46-1)+(-N45)/M46,"")</f>
        <v/>
      </c>
      <c r="P46" s="9" t="n">
        <f aca="false">Resultados!$B$19*$B46-Resultados!$B$20*$B46-Premissas!$B$24-Resultados!$B$19*$B46*(Premissas!$B$14/100)</f>
        <v>24432.4</v>
      </c>
      <c r="Q46" s="9" t="n">
        <f aca="false">P46-$C46</f>
        <v>24432.4</v>
      </c>
      <c r="R46" s="9" t="n">
        <f aca="false">R45+Q46</f>
        <v>618719.88</v>
      </c>
      <c r="S46" s="37" t="str">
        <f aca="false">IF(AND(R45&lt;0,R46&gt;=0,A46&lt;=MAX(120,Premissas!$B$15*12)),(A46-1)+(-R45)/Q46,"")</f>
        <v/>
      </c>
    </row>
    <row r="47" customFormat="false" ht="15" hidden="false" customHeight="false" outlineLevel="0" collapsed="false">
      <c r="A47" s="10" t="n">
        <f aca="false">A46+1</f>
        <v>43</v>
      </c>
      <c r="B47" s="36" t="n">
        <f aca="false">IF(Premissas!$B$9&lt;=1,1,MIN(1,Premissas!$B$8/100+(1-Premissas!$B$8/100)*(A47-1)/(Premissas!$B$9-1)))</f>
        <v>1</v>
      </c>
      <c r="C47" s="9" t="n">
        <f aca="false">IF(A47&lt;=Resultados!$B$9,Resultados!$B$10,0)</f>
        <v>0</v>
      </c>
      <c r="D47" s="9" t="n">
        <f aca="false">Resultados!$E$37*$B47-Resultados!$F$37*$B47-Premissas!$B$24-Resultados!$E$37*$B47*(Premissas!$B$14/100)</f>
        <v>19027</v>
      </c>
      <c r="E47" s="9" t="n">
        <f aca="false">D47-$C47</f>
        <v>19027</v>
      </c>
      <c r="F47" s="9" t="n">
        <f aca="false">F46+E47</f>
        <v>428557.9</v>
      </c>
      <c r="G47" s="37" t="str">
        <f aca="false">IF(AND(F46&lt;0,F47&gt;=0,A47&lt;=MAX(120,Premissas!$B$15*12)),(A47-1)+(-F46)/E47,"")</f>
        <v/>
      </c>
      <c r="H47" s="9" t="n">
        <f aca="false">Resultados!$E$38*$B47-Resultados!$F$38*$B47-Premissas!$B$24-Resultados!$E$38*$B47*(Premissas!$B$14/100)</f>
        <v>24432.4</v>
      </c>
      <c r="I47" s="9" t="n">
        <f aca="false">H47-$C47</f>
        <v>24432.4</v>
      </c>
      <c r="J47" s="9" t="n">
        <f aca="false">J46+I47</f>
        <v>643152.28</v>
      </c>
      <c r="K47" s="37" t="str">
        <f aca="false">IF(AND(J46&lt;0,J47&gt;=0,A47&lt;=MAX(120,Premissas!$B$15*12)),(A47-1)+(-J46)/I47,"")</f>
        <v/>
      </c>
      <c r="L47" s="9" t="n">
        <f aca="false">Resultados!$E$39*$B47-Resultados!$F$39*$B47-Premissas!$B$24-Resultados!$E$39*$B47*(Premissas!$B$14/100)</f>
        <v>29837.8</v>
      </c>
      <c r="M47" s="9" t="n">
        <f aca="false">L47-$C47</f>
        <v>29837.8</v>
      </c>
      <c r="N47" s="9" t="n">
        <f aca="false">N46+M47</f>
        <v>857746.66</v>
      </c>
      <c r="O47" s="37" t="str">
        <f aca="false">IF(AND(N46&lt;0,N47&gt;=0,A47&lt;=MAX(120,Premissas!$B$15*12)),(A47-1)+(-N46)/M47,"")</f>
        <v/>
      </c>
      <c r="P47" s="9" t="n">
        <f aca="false">Resultados!$B$19*$B47-Resultados!$B$20*$B47-Premissas!$B$24-Resultados!$B$19*$B47*(Premissas!$B$14/100)</f>
        <v>24432.4</v>
      </c>
      <c r="Q47" s="9" t="n">
        <f aca="false">P47-$C47</f>
        <v>24432.4</v>
      </c>
      <c r="R47" s="9" t="n">
        <f aca="false">R46+Q47</f>
        <v>643152.28</v>
      </c>
      <c r="S47" s="37" t="str">
        <f aca="false">IF(AND(R46&lt;0,R47&gt;=0,A47&lt;=MAX(120,Premissas!$B$15*12)),(A47-1)+(-R46)/Q47,"")</f>
        <v/>
      </c>
    </row>
    <row r="48" customFormat="false" ht="15" hidden="false" customHeight="false" outlineLevel="0" collapsed="false">
      <c r="A48" s="10" t="n">
        <f aca="false">A47+1</f>
        <v>44</v>
      </c>
      <c r="B48" s="36" t="n">
        <f aca="false">IF(Premissas!$B$9&lt;=1,1,MIN(1,Premissas!$B$8/100+(1-Premissas!$B$8/100)*(A48-1)/(Premissas!$B$9-1)))</f>
        <v>1</v>
      </c>
      <c r="C48" s="9" t="n">
        <f aca="false">IF(A48&lt;=Resultados!$B$9,Resultados!$B$10,0)</f>
        <v>0</v>
      </c>
      <c r="D48" s="9" t="n">
        <f aca="false">Resultados!$E$37*$B48-Resultados!$F$37*$B48-Premissas!$B$24-Resultados!$E$37*$B48*(Premissas!$B$14/100)</f>
        <v>19027</v>
      </c>
      <c r="E48" s="9" t="n">
        <f aca="false">D48-$C48</f>
        <v>19027</v>
      </c>
      <c r="F48" s="9" t="n">
        <f aca="false">F47+E48</f>
        <v>447584.9</v>
      </c>
      <c r="G48" s="37" t="str">
        <f aca="false">IF(AND(F47&lt;0,F48&gt;=0,A48&lt;=MAX(120,Premissas!$B$15*12)),(A48-1)+(-F47)/E48,"")</f>
        <v/>
      </c>
      <c r="H48" s="9" t="n">
        <f aca="false">Resultados!$E$38*$B48-Resultados!$F$38*$B48-Premissas!$B$24-Resultados!$E$38*$B48*(Premissas!$B$14/100)</f>
        <v>24432.4</v>
      </c>
      <c r="I48" s="9" t="n">
        <f aca="false">H48-$C48</f>
        <v>24432.4</v>
      </c>
      <c r="J48" s="9" t="n">
        <f aca="false">J47+I48</f>
        <v>667584.68</v>
      </c>
      <c r="K48" s="37" t="str">
        <f aca="false">IF(AND(J47&lt;0,J48&gt;=0,A48&lt;=MAX(120,Premissas!$B$15*12)),(A48-1)+(-J47)/I48,"")</f>
        <v/>
      </c>
      <c r="L48" s="9" t="n">
        <f aca="false">Resultados!$E$39*$B48-Resultados!$F$39*$B48-Premissas!$B$24-Resultados!$E$39*$B48*(Premissas!$B$14/100)</f>
        <v>29837.8</v>
      </c>
      <c r="M48" s="9" t="n">
        <f aca="false">L48-$C48</f>
        <v>29837.8</v>
      </c>
      <c r="N48" s="9" t="n">
        <f aca="false">N47+M48</f>
        <v>887584.46</v>
      </c>
      <c r="O48" s="37" t="str">
        <f aca="false">IF(AND(N47&lt;0,N48&gt;=0,A48&lt;=MAX(120,Premissas!$B$15*12)),(A48-1)+(-N47)/M48,"")</f>
        <v/>
      </c>
      <c r="P48" s="9" t="n">
        <f aca="false">Resultados!$B$19*$B48-Resultados!$B$20*$B48-Premissas!$B$24-Resultados!$B$19*$B48*(Premissas!$B$14/100)</f>
        <v>24432.4</v>
      </c>
      <c r="Q48" s="9" t="n">
        <f aca="false">P48-$C48</f>
        <v>24432.4</v>
      </c>
      <c r="R48" s="9" t="n">
        <f aca="false">R47+Q48</f>
        <v>667584.68</v>
      </c>
      <c r="S48" s="37" t="str">
        <f aca="false">IF(AND(R47&lt;0,R48&gt;=0,A48&lt;=MAX(120,Premissas!$B$15*12)),(A48-1)+(-R47)/Q48,"")</f>
        <v/>
      </c>
    </row>
    <row r="49" customFormat="false" ht="15" hidden="false" customHeight="false" outlineLevel="0" collapsed="false">
      <c r="A49" s="10" t="n">
        <f aca="false">A48+1</f>
        <v>45</v>
      </c>
      <c r="B49" s="36" t="n">
        <f aca="false">IF(Premissas!$B$9&lt;=1,1,MIN(1,Premissas!$B$8/100+(1-Premissas!$B$8/100)*(A49-1)/(Premissas!$B$9-1)))</f>
        <v>1</v>
      </c>
      <c r="C49" s="9" t="n">
        <f aca="false">IF(A49&lt;=Resultados!$B$9,Resultados!$B$10,0)</f>
        <v>0</v>
      </c>
      <c r="D49" s="9" t="n">
        <f aca="false">Resultados!$E$37*$B49-Resultados!$F$37*$B49-Premissas!$B$24-Resultados!$E$37*$B49*(Premissas!$B$14/100)</f>
        <v>19027</v>
      </c>
      <c r="E49" s="9" t="n">
        <f aca="false">D49-$C49</f>
        <v>19027</v>
      </c>
      <c r="F49" s="9" t="n">
        <f aca="false">F48+E49</f>
        <v>466611.9</v>
      </c>
      <c r="G49" s="37" t="str">
        <f aca="false">IF(AND(F48&lt;0,F49&gt;=0,A49&lt;=MAX(120,Premissas!$B$15*12)),(A49-1)+(-F48)/E49,"")</f>
        <v/>
      </c>
      <c r="H49" s="9" t="n">
        <f aca="false">Resultados!$E$38*$B49-Resultados!$F$38*$B49-Premissas!$B$24-Resultados!$E$38*$B49*(Premissas!$B$14/100)</f>
        <v>24432.4</v>
      </c>
      <c r="I49" s="9" t="n">
        <f aca="false">H49-$C49</f>
        <v>24432.4</v>
      </c>
      <c r="J49" s="9" t="n">
        <f aca="false">J48+I49</f>
        <v>692017.08</v>
      </c>
      <c r="K49" s="37" t="str">
        <f aca="false">IF(AND(J48&lt;0,J49&gt;=0,A49&lt;=MAX(120,Premissas!$B$15*12)),(A49-1)+(-J48)/I49,"")</f>
        <v/>
      </c>
      <c r="L49" s="9" t="n">
        <f aca="false">Resultados!$E$39*$B49-Resultados!$F$39*$B49-Premissas!$B$24-Resultados!$E$39*$B49*(Premissas!$B$14/100)</f>
        <v>29837.8</v>
      </c>
      <c r="M49" s="9" t="n">
        <f aca="false">L49-$C49</f>
        <v>29837.8</v>
      </c>
      <c r="N49" s="9" t="n">
        <f aca="false">N48+M49</f>
        <v>917422.260000001</v>
      </c>
      <c r="O49" s="37" t="str">
        <f aca="false">IF(AND(N48&lt;0,N49&gt;=0,A49&lt;=MAX(120,Premissas!$B$15*12)),(A49-1)+(-N48)/M49,"")</f>
        <v/>
      </c>
      <c r="P49" s="9" t="n">
        <f aca="false">Resultados!$B$19*$B49-Resultados!$B$20*$B49-Premissas!$B$24-Resultados!$B$19*$B49*(Premissas!$B$14/100)</f>
        <v>24432.4</v>
      </c>
      <c r="Q49" s="9" t="n">
        <f aca="false">P49-$C49</f>
        <v>24432.4</v>
      </c>
      <c r="R49" s="9" t="n">
        <f aca="false">R48+Q49</f>
        <v>692017.08</v>
      </c>
      <c r="S49" s="37" t="str">
        <f aca="false">IF(AND(R48&lt;0,R49&gt;=0,A49&lt;=MAX(120,Premissas!$B$15*12)),(A49-1)+(-R48)/Q49,"")</f>
        <v/>
      </c>
    </row>
    <row r="50" customFormat="false" ht="15" hidden="false" customHeight="false" outlineLevel="0" collapsed="false">
      <c r="A50" s="10" t="n">
        <f aca="false">A49+1</f>
        <v>46</v>
      </c>
      <c r="B50" s="36" t="n">
        <f aca="false">IF(Premissas!$B$9&lt;=1,1,MIN(1,Premissas!$B$8/100+(1-Premissas!$B$8/100)*(A50-1)/(Premissas!$B$9-1)))</f>
        <v>1</v>
      </c>
      <c r="C50" s="9" t="n">
        <f aca="false">IF(A50&lt;=Resultados!$B$9,Resultados!$B$10,0)</f>
        <v>0</v>
      </c>
      <c r="D50" s="9" t="n">
        <f aca="false">Resultados!$E$37*$B50-Resultados!$F$37*$B50-Premissas!$B$24-Resultados!$E$37*$B50*(Premissas!$B$14/100)</f>
        <v>19027</v>
      </c>
      <c r="E50" s="9" t="n">
        <f aca="false">D50-$C50</f>
        <v>19027</v>
      </c>
      <c r="F50" s="9" t="n">
        <f aca="false">F49+E50</f>
        <v>485638.9</v>
      </c>
      <c r="G50" s="37" t="str">
        <f aca="false">IF(AND(F49&lt;0,F50&gt;=0,A50&lt;=MAX(120,Premissas!$B$15*12)),(A50-1)+(-F49)/E50,"")</f>
        <v/>
      </c>
      <c r="H50" s="9" t="n">
        <f aca="false">Resultados!$E$38*$B50-Resultados!$F$38*$B50-Premissas!$B$24-Resultados!$E$38*$B50*(Premissas!$B$14/100)</f>
        <v>24432.4</v>
      </c>
      <c r="I50" s="9" t="n">
        <f aca="false">H50-$C50</f>
        <v>24432.4</v>
      </c>
      <c r="J50" s="9" t="n">
        <f aca="false">J49+I50</f>
        <v>716449.48</v>
      </c>
      <c r="K50" s="37" t="str">
        <f aca="false">IF(AND(J49&lt;0,J50&gt;=0,A50&lt;=MAX(120,Premissas!$B$15*12)),(A50-1)+(-J49)/I50,"")</f>
        <v/>
      </c>
      <c r="L50" s="9" t="n">
        <f aca="false">Resultados!$E$39*$B50-Resultados!$F$39*$B50-Premissas!$B$24-Resultados!$E$39*$B50*(Premissas!$B$14/100)</f>
        <v>29837.8</v>
      </c>
      <c r="M50" s="9" t="n">
        <f aca="false">L50-$C50</f>
        <v>29837.8</v>
      </c>
      <c r="N50" s="9" t="n">
        <f aca="false">N49+M50</f>
        <v>947260.060000001</v>
      </c>
      <c r="O50" s="37" t="str">
        <f aca="false">IF(AND(N49&lt;0,N50&gt;=0,A50&lt;=MAX(120,Premissas!$B$15*12)),(A50-1)+(-N49)/M50,"")</f>
        <v/>
      </c>
      <c r="P50" s="9" t="n">
        <f aca="false">Resultados!$B$19*$B50-Resultados!$B$20*$B50-Premissas!$B$24-Resultados!$B$19*$B50*(Premissas!$B$14/100)</f>
        <v>24432.4</v>
      </c>
      <c r="Q50" s="9" t="n">
        <f aca="false">P50-$C50</f>
        <v>24432.4</v>
      </c>
      <c r="R50" s="9" t="n">
        <f aca="false">R49+Q50</f>
        <v>716449.48</v>
      </c>
      <c r="S50" s="37" t="str">
        <f aca="false">IF(AND(R49&lt;0,R50&gt;=0,A50&lt;=MAX(120,Premissas!$B$15*12)),(A50-1)+(-R49)/Q50,"")</f>
        <v/>
      </c>
    </row>
    <row r="51" customFormat="false" ht="15" hidden="false" customHeight="false" outlineLevel="0" collapsed="false">
      <c r="A51" s="10" t="n">
        <f aca="false">A50+1</f>
        <v>47</v>
      </c>
      <c r="B51" s="36" t="n">
        <f aca="false">IF(Premissas!$B$9&lt;=1,1,MIN(1,Premissas!$B$8/100+(1-Premissas!$B$8/100)*(A51-1)/(Premissas!$B$9-1)))</f>
        <v>1</v>
      </c>
      <c r="C51" s="9" t="n">
        <f aca="false">IF(A51&lt;=Resultados!$B$9,Resultados!$B$10,0)</f>
        <v>0</v>
      </c>
      <c r="D51" s="9" t="n">
        <f aca="false">Resultados!$E$37*$B51-Resultados!$F$37*$B51-Premissas!$B$24-Resultados!$E$37*$B51*(Premissas!$B$14/100)</f>
        <v>19027</v>
      </c>
      <c r="E51" s="9" t="n">
        <f aca="false">D51-$C51</f>
        <v>19027</v>
      </c>
      <c r="F51" s="9" t="n">
        <f aca="false">F50+E51</f>
        <v>504665.9</v>
      </c>
      <c r="G51" s="37" t="str">
        <f aca="false">IF(AND(F50&lt;0,F51&gt;=0,A51&lt;=MAX(120,Premissas!$B$15*12)),(A51-1)+(-F50)/E51,"")</f>
        <v/>
      </c>
      <c r="H51" s="9" t="n">
        <f aca="false">Resultados!$E$38*$B51-Resultados!$F$38*$B51-Premissas!$B$24-Resultados!$E$38*$B51*(Premissas!$B$14/100)</f>
        <v>24432.4</v>
      </c>
      <c r="I51" s="9" t="n">
        <f aca="false">H51-$C51</f>
        <v>24432.4</v>
      </c>
      <c r="J51" s="9" t="n">
        <f aca="false">J50+I51</f>
        <v>740881.880000001</v>
      </c>
      <c r="K51" s="37" t="str">
        <f aca="false">IF(AND(J50&lt;0,J51&gt;=0,A51&lt;=MAX(120,Premissas!$B$15*12)),(A51-1)+(-J50)/I51,"")</f>
        <v/>
      </c>
      <c r="L51" s="9" t="n">
        <f aca="false">Resultados!$E$39*$B51-Resultados!$F$39*$B51-Premissas!$B$24-Resultados!$E$39*$B51*(Premissas!$B$14/100)</f>
        <v>29837.8</v>
      </c>
      <c r="M51" s="9" t="n">
        <f aca="false">L51-$C51</f>
        <v>29837.8</v>
      </c>
      <c r="N51" s="9" t="n">
        <f aca="false">N50+M51</f>
        <v>977097.860000001</v>
      </c>
      <c r="O51" s="37" t="str">
        <f aca="false">IF(AND(N50&lt;0,N51&gt;=0,A51&lt;=MAX(120,Premissas!$B$15*12)),(A51-1)+(-N50)/M51,"")</f>
        <v/>
      </c>
      <c r="P51" s="9" t="n">
        <f aca="false">Resultados!$B$19*$B51-Resultados!$B$20*$B51-Premissas!$B$24-Resultados!$B$19*$B51*(Premissas!$B$14/100)</f>
        <v>24432.4</v>
      </c>
      <c r="Q51" s="9" t="n">
        <f aca="false">P51-$C51</f>
        <v>24432.4</v>
      </c>
      <c r="R51" s="9" t="n">
        <f aca="false">R50+Q51</f>
        <v>740881.880000001</v>
      </c>
      <c r="S51" s="37" t="str">
        <f aca="false">IF(AND(R50&lt;0,R51&gt;=0,A51&lt;=MAX(120,Premissas!$B$15*12)),(A51-1)+(-R50)/Q51,"")</f>
        <v/>
      </c>
    </row>
    <row r="52" customFormat="false" ht="15" hidden="false" customHeight="false" outlineLevel="0" collapsed="false">
      <c r="A52" s="10" t="n">
        <f aca="false">A51+1</f>
        <v>48</v>
      </c>
      <c r="B52" s="36" t="n">
        <f aca="false">IF(Premissas!$B$9&lt;=1,1,MIN(1,Premissas!$B$8/100+(1-Premissas!$B$8/100)*(A52-1)/(Premissas!$B$9-1)))</f>
        <v>1</v>
      </c>
      <c r="C52" s="9" t="n">
        <f aca="false">IF(A52&lt;=Resultados!$B$9,Resultados!$B$10,0)</f>
        <v>0</v>
      </c>
      <c r="D52" s="9" t="n">
        <f aca="false">Resultados!$E$37*$B52-Resultados!$F$37*$B52-Premissas!$B$24-Resultados!$E$37*$B52*(Premissas!$B$14/100)</f>
        <v>19027</v>
      </c>
      <c r="E52" s="9" t="n">
        <f aca="false">D52-$C52</f>
        <v>19027</v>
      </c>
      <c r="F52" s="9" t="n">
        <f aca="false">F51+E52</f>
        <v>523692.9</v>
      </c>
      <c r="G52" s="37" t="str">
        <f aca="false">IF(AND(F51&lt;0,F52&gt;=0,A52&lt;=MAX(120,Premissas!$B$15*12)),(A52-1)+(-F51)/E52,"")</f>
        <v/>
      </c>
      <c r="H52" s="9" t="n">
        <f aca="false">Resultados!$E$38*$B52-Resultados!$F$38*$B52-Premissas!$B$24-Resultados!$E$38*$B52*(Premissas!$B$14/100)</f>
        <v>24432.4</v>
      </c>
      <c r="I52" s="9" t="n">
        <f aca="false">H52-$C52</f>
        <v>24432.4</v>
      </c>
      <c r="J52" s="9" t="n">
        <f aca="false">J51+I52</f>
        <v>765314.280000001</v>
      </c>
      <c r="K52" s="37" t="str">
        <f aca="false">IF(AND(J51&lt;0,J52&gt;=0,A52&lt;=MAX(120,Premissas!$B$15*12)),(A52-1)+(-J51)/I52,"")</f>
        <v/>
      </c>
      <c r="L52" s="9" t="n">
        <f aca="false">Resultados!$E$39*$B52-Resultados!$F$39*$B52-Premissas!$B$24-Resultados!$E$39*$B52*(Premissas!$B$14/100)</f>
        <v>29837.8</v>
      </c>
      <c r="M52" s="9" t="n">
        <f aca="false">L52-$C52</f>
        <v>29837.8</v>
      </c>
      <c r="N52" s="9" t="n">
        <f aca="false">N51+M52</f>
        <v>1006935.66</v>
      </c>
      <c r="O52" s="37" t="str">
        <f aca="false">IF(AND(N51&lt;0,N52&gt;=0,A52&lt;=MAX(120,Premissas!$B$15*12)),(A52-1)+(-N51)/M52,"")</f>
        <v/>
      </c>
      <c r="P52" s="9" t="n">
        <f aca="false">Resultados!$B$19*$B52-Resultados!$B$20*$B52-Premissas!$B$24-Resultados!$B$19*$B52*(Premissas!$B$14/100)</f>
        <v>24432.4</v>
      </c>
      <c r="Q52" s="9" t="n">
        <f aca="false">P52-$C52</f>
        <v>24432.4</v>
      </c>
      <c r="R52" s="9" t="n">
        <f aca="false">R51+Q52</f>
        <v>765314.280000001</v>
      </c>
      <c r="S52" s="37" t="str">
        <f aca="false">IF(AND(R51&lt;0,R52&gt;=0,A52&lt;=MAX(120,Premissas!$B$15*12)),(A52-1)+(-R51)/Q52,"")</f>
        <v/>
      </c>
    </row>
    <row r="53" customFormat="false" ht="15" hidden="false" customHeight="false" outlineLevel="0" collapsed="false">
      <c r="A53" s="10" t="n">
        <f aca="false">A52+1</f>
        <v>49</v>
      </c>
      <c r="B53" s="36" t="n">
        <f aca="false">IF(Premissas!$B$9&lt;=1,1,MIN(1,Premissas!$B$8/100+(1-Premissas!$B$8/100)*(A53-1)/(Premissas!$B$9-1)))</f>
        <v>1</v>
      </c>
      <c r="C53" s="9" t="n">
        <f aca="false">IF(A53&lt;=Resultados!$B$9,Resultados!$B$10,0)</f>
        <v>0</v>
      </c>
      <c r="D53" s="9" t="n">
        <f aca="false">Resultados!$E$37*$B53-Resultados!$F$37*$B53-Premissas!$B$24-Resultados!$E$37*$B53*(Premissas!$B$14/100)</f>
        <v>19027</v>
      </c>
      <c r="E53" s="9" t="n">
        <f aca="false">D53-$C53</f>
        <v>19027</v>
      </c>
      <c r="F53" s="9" t="n">
        <f aca="false">F52+E53</f>
        <v>542719.9</v>
      </c>
      <c r="G53" s="37" t="str">
        <f aca="false">IF(AND(F52&lt;0,F53&gt;=0,A53&lt;=MAX(120,Premissas!$B$15*12)),(A53-1)+(-F52)/E53,"")</f>
        <v/>
      </c>
      <c r="H53" s="9" t="n">
        <f aca="false">Resultados!$E$38*$B53-Resultados!$F$38*$B53-Premissas!$B$24-Resultados!$E$38*$B53*(Premissas!$B$14/100)</f>
        <v>24432.4</v>
      </c>
      <c r="I53" s="9" t="n">
        <f aca="false">H53-$C53</f>
        <v>24432.4</v>
      </c>
      <c r="J53" s="9" t="n">
        <f aca="false">J52+I53</f>
        <v>789746.680000001</v>
      </c>
      <c r="K53" s="37" t="str">
        <f aca="false">IF(AND(J52&lt;0,J53&gt;=0,A53&lt;=MAX(120,Premissas!$B$15*12)),(A53-1)+(-J52)/I53,"")</f>
        <v/>
      </c>
      <c r="L53" s="9" t="n">
        <f aca="false">Resultados!$E$39*$B53-Resultados!$F$39*$B53-Premissas!$B$24-Resultados!$E$39*$B53*(Premissas!$B$14/100)</f>
        <v>29837.8</v>
      </c>
      <c r="M53" s="9" t="n">
        <f aca="false">L53-$C53</f>
        <v>29837.8</v>
      </c>
      <c r="N53" s="9" t="n">
        <f aca="false">N52+M53</f>
        <v>1036773.46</v>
      </c>
      <c r="O53" s="37" t="str">
        <f aca="false">IF(AND(N52&lt;0,N53&gt;=0,A53&lt;=MAX(120,Premissas!$B$15*12)),(A53-1)+(-N52)/M53,"")</f>
        <v/>
      </c>
      <c r="P53" s="9" t="n">
        <f aca="false">Resultados!$B$19*$B53-Resultados!$B$20*$B53-Premissas!$B$24-Resultados!$B$19*$B53*(Premissas!$B$14/100)</f>
        <v>24432.4</v>
      </c>
      <c r="Q53" s="9" t="n">
        <f aca="false">P53-$C53</f>
        <v>24432.4</v>
      </c>
      <c r="R53" s="9" t="n">
        <f aca="false">R52+Q53</f>
        <v>789746.680000001</v>
      </c>
      <c r="S53" s="37" t="str">
        <f aca="false">IF(AND(R52&lt;0,R53&gt;=0,A53&lt;=MAX(120,Premissas!$B$15*12)),(A53-1)+(-R52)/Q53,"")</f>
        <v/>
      </c>
    </row>
    <row r="54" customFormat="false" ht="15" hidden="false" customHeight="false" outlineLevel="0" collapsed="false">
      <c r="A54" s="10" t="n">
        <f aca="false">A53+1</f>
        <v>50</v>
      </c>
      <c r="B54" s="36" t="n">
        <f aca="false">IF(Premissas!$B$9&lt;=1,1,MIN(1,Premissas!$B$8/100+(1-Premissas!$B$8/100)*(A54-1)/(Premissas!$B$9-1)))</f>
        <v>1</v>
      </c>
      <c r="C54" s="9" t="n">
        <f aca="false">IF(A54&lt;=Resultados!$B$9,Resultados!$B$10,0)</f>
        <v>0</v>
      </c>
      <c r="D54" s="9" t="n">
        <f aca="false">Resultados!$E$37*$B54-Resultados!$F$37*$B54-Premissas!$B$24-Resultados!$E$37*$B54*(Premissas!$B$14/100)</f>
        <v>19027</v>
      </c>
      <c r="E54" s="9" t="n">
        <f aca="false">D54-$C54</f>
        <v>19027</v>
      </c>
      <c r="F54" s="9" t="n">
        <f aca="false">F53+E54</f>
        <v>561746.9</v>
      </c>
      <c r="G54" s="37" t="str">
        <f aca="false">IF(AND(F53&lt;0,F54&gt;=0,A54&lt;=MAX(120,Premissas!$B$15*12)),(A54-1)+(-F53)/E54,"")</f>
        <v/>
      </c>
      <c r="H54" s="9" t="n">
        <f aca="false">Resultados!$E$38*$B54-Resultados!$F$38*$B54-Premissas!$B$24-Resultados!$E$38*$B54*(Premissas!$B$14/100)</f>
        <v>24432.4</v>
      </c>
      <c r="I54" s="9" t="n">
        <f aca="false">H54-$C54</f>
        <v>24432.4</v>
      </c>
      <c r="J54" s="9" t="n">
        <f aca="false">J53+I54</f>
        <v>814179.080000001</v>
      </c>
      <c r="K54" s="37" t="str">
        <f aca="false">IF(AND(J53&lt;0,J54&gt;=0,A54&lt;=MAX(120,Premissas!$B$15*12)),(A54-1)+(-J53)/I54,"")</f>
        <v/>
      </c>
      <c r="L54" s="9" t="n">
        <f aca="false">Resultados!$E$39*$B54-Resultados!$F$39*$B54-Premissas!$B$24-Resultados!$E$39*$B54*(Premissas!$B$14/100)</f>
        <v>29837.8</v>
      </c>
      <c r="M54" s="9" t="n">
        <f aca="false">L54-$C54</f>
        <v>29837.8</v>
      </c>
      <c r="N54" s="9" t="n">
        <f aca="false">N53+M54</f>
        <v>1066611.26</v>
      </c>
      <c r="O54" s="37" t="str">
        <f aca="false">IF(AND(N53&lt;0,N54&gt;=0,A54&lt;=MAX(120,Premissas!$B$15*12)),(A54-1)+(-N53)/M54,"")</f>
        <v/>
      </c>
      <c r="P54" s="9" t="n">
        <f aca="false">Resultados!$B$19*$B54-Resultados!$B$20*$B54-Premissas!$B$24-Resultados!$B$19*$B54*(Premissas!$B$14/100)</f>
        <v>24432.4</v>
      </c>
      <c r="Q54" s="9" t="n">
        <f aca="false">P54-$C54</f>
        <v>24432.4</v>
      </c>
      <c r="R54" s="9" t="n">
        <f aca="false">R53+Q54</f>
        <v>814179.080000001</v>
      </c>
      <c r="S54" s="37" t="str">
        <f aca="false">IF(AND(R53&lt;0,R54&gt;=0,A54&lt;=MAX(120,Premissas!$B$15*12)),(A54-1)+(-R53)/Q54,"")</f>
        <v/>
      </c>
    </row>
    <row r="55" customFormat="false" ht="15" hidden="false" customHeight="false" outlineLevel="0" collapsed="false">
      <c r="A55" s="10" t="n">
        <f aca="false">A54+1</f>
        <v>51</v>
      </c>
      <c r="B55" s="36" t="n">
        <f aca="false">IF(Premissas!$B$9&lt;=1,1,MIN(1,Premissas!$B$8/100+(1-Premissas!$B$8/100)*(A55-1)/(Premissas!$B$9-1)))</f>
        <v>1</v>
      </c>
      <c r="C55" s="9" t="n">
        <f aca="false">IF(A55&lt;=Resultados!$B$9,Resultados!$B$10,0)</f>
        <v>0</v>
      </c>
      <c r="D55" s="9" t="n">
        <f aca="false">Resultados!$E$37*$B55-Resultados!$F$37*$B55-Premissas!$B$24-Resultados!$E$37*$B55*(Premissas!$B$14/100)</f>
        <v>19027</v>
      </c>
      <c r="E55" s="9" t="n">
        <f aca="false">D55-$C55</f>
        <v>19027</v>
      </c>
      <c r="F55" s="9" t="n">
        <f aca="false">F54+E55</f>
        <v>580773.9</v>
      </c>
      <c r="G55" s="37" t="str">
        <f aca="false">IF(AND(F54&lt;0,F55&gt;=0,A55&lt;=MAX(120,Premissas!$B$15*12)),(A55-1)+(-F54)/E55,"")</f>
        <v/>
      </c>
      <c r="H55" s="9" t="n">
        <f aca="false">Resultados!$E$38*$B55-Resultados!$F$38*$B55-Premissas!$B$24-Resultados!$E$38*$B55*(Premissas!$B$14/100)</f>
        <v>24432.4</v>
      </c>
      <c r="I55" s="9" t="n">
        <f aca="false">H55-$C55</f>
        <v>24432.4</v>
      </c>
      <c r="J55" s="9" t="n">
        <f aca="false">J54+I55</f>
        <v>838611.480000001</v>
      </c>
      <c r="K55" s="37" t="str">
        <f aca="false">IF(AND(J54&lt;0,J55&gt;=0,A55&lt;=MAX(120,Premissas!$B$15*12)),(A55-1)+(-J54)/I55,"")</f>
        <v/>
      </c>
      <c r="L55" s="9" t="n">
        <f aca="false">Resultados!$E$39*$B55-Resultados!$F$39*$B55-Premissas!$B$24-Resultados!$E$39*$B55*(Premissas!$B$14/100)</f>
        <v>29837.8</v>
      </c>
      <c r="M55" s="9" t="n">
        <f aca="false">L55-$C55</f>
        <v>29837.8</v>
      </c>
      <c r="N55" s="9" t="n">
        <f aca="false">N54+M55</f>
        <v>1096449.06</v>
      </c>
      <c r="O55" s="37" t="str">
        <f aca="false">IF(AND(N54&lt;0,N55&gt;=0,A55&lt;=MAX(120,Premissas!$B$15*12)),(A55-1)+(-N54)/M55,"")</f>
        <v/>
      </c>
      <c r="P55" s="9" t="n">
        <f aca="false">Resultados!$B$19*$B55-Resultados!$B$20*$B55-Premissas!$B$24-Resultados!$B$19*$B55*(Premissas!$B$14/100)</f>
        <v>24432.4</v>
      </c>
      <c r="Q55" s="9" t="n">
        <f aca="false">P55-$C55</f>
        <v>24432.4</v>
      </c>
      <c r="R55" s="9" t="n">
        <f aca="false">R54+Q55</f>
        <v>838611.480000001</v>
      </c>
      <c r="S55" s="37" t="str">
        <f aca="false">IF(AND(R54&lt;0,R55&gt;=0,A55&lt;=MAX(120,Premissas!$B$15*12)),(A55-1)+(-R54)/Q55,"")</f>
        <v/>
      </c>
    </row>
    <row r="56" customFormat="false" ht="15" hidden="false" customHeight="false" outlineLevel="0" collapsed="false">
      <c r="A56" s="10" t="n">
        <f aca="false">A55+1</f>
        <v>52</v>
      </c>
      <c r="B56" s="36" t="n">
        <f aca="false">IF(Premissas!$B$9&lt;=1,1,MIN(1,Premissas!$B$8/100+(1-Premissas!$B$8/100)*(A56-1)/(Premissas!$B$9-1)))</f>
        <v>1</v>
      </c>
      <c r="C56" s="9" t="n">
        <f aca="false">IF(A56&lt;=Resultados!$B$9,Resultados!$B$10,0)</f>
        <v>0</v>
      </c>
      <c r="D56" s="9" t="n">
        <f aca="false">Resultados!$E$37*$B56-Resultados!$F$37*$B56-Premissas!$B$24-Resultados!$E$37*$B56*(Premissas!$B$14/100)</f>
        <v>19027</v>
      </c>
      <c r="E56" s="9" t="n">
        <f aca="false">D56-$C56</f>
        <v>19027</v>
      </c>
      <c r="F56" s="9" t="n">
        <f aca="false">F55+E56</f>
        <v>599800.9</v>
      </c>
      <c r="G56" s="37" t="str">
        <f aca="false">IF(AND(F55&lt;0,F56&gt;=0,A56&lt;=MAX(120,Premissas!$B$15*12)),(A56-1)+(-F55)/E56,"")</f>
        <v/>
      </c>
      <c r="H56" s="9" t="n">
        <f aca="false">Resultados!$E$38*$B56-Resultados!$F$38*$B56-Premissas!$B$24-Resultados!$E$38*$B56*(Premissas!$B$14/100)</f>
        <v>24432.4</v>
      </c>
      <c r="I56" s="9" t="n">
        <f aca="false">H56-$C56</f>
        <v>24432.4</v>
      </c>
      <c r="J56" s="9" t="n">
        <f aca="false">J55+I56</f>
        <v>863043.880000001</v>
      </c>
      <c r="K56" s="37" t="str">
        <f aca="false">IF(AND(J55&lt;0,J56&gt;=0,A56&lt;=MAX(120,Premissas!$B$15*12)),(A56-1)+(-J55)/I56,"")</f>
        <v/>
      </c>
      <c r="L56" s="9" t="n">
        <f aca="false">Resultados!$E$39*$B56-Resultados!$F$39*$B56-Premissas!$B$24-Resultados!$E$39*$B56*(Premissas!$B$14/100)</f>
        <v>29837.8</v>
      </c>
      <c r="M56" s="9" t="n">
        <f aca="false">L56-$C56</f>
        <v>29837.8</v>
      </c>
      <c r="N56" s="9" t="n">
        <f aca="false">N55+M56</f>
        <v>1126286.86</v>
      </c>
      <c r="O56" s="37" t="str">
        <f aca="false">IF(AND(N55&lt;0,N56&gt;=0,A56&lt;=MAX(120,Premissas!$B$15*12)),(A56-1)+(-N55)/M56,"")</f>
        <v/>
      </c>
      <c r="P56" s="9" t="n">
        <f aca="false">Resultados!$B$19*$B56-Resultados!$B$20*$B56-Premissas!$B$24-Resultados!$B$19*$B56*(Premissas!$B$14/100)</f>
        <v>24432.4</v>
      </c>
      <c r="Q56" s="9" t="n">
        <f aca="false">P56-$C56</f>
        <v>24432.4</v>
      </c>
      <c r="R56" s="9" t="n">
        <f aca="false">R55+Q56</f>
        <v>863043.880000001</v>
      </c>
      <c r="S56" s="37" t="str">
        <f aca="false">IF(AND(R55&lt;0,R56&gt;=0,A56&lt;=MAX(120,Premissas!$B$15*12)),(A56-1)+(-R55)/Q56,"")</f>
        <v/>
      </c>
    </row>
    <row r="57" customFormat="false" ht="15" hidden="false" customHeight="false" outlineLevel="0" collapsed="false">
      <c r="A57" s="10" t="n">
        <f aca="false">A56+1</f>
        <v>53</v>
      </c>
      <c r="B57" s="36" t="n">
        <f aca="false">IF(Premissas!$B$9&lt;=1,1,MIN(1,Premissas!$B$8/100+(1-Premissas!$B$8/100)*(A57-1)/(Premissas!$B$9-1)))</f>
        <v>1</v>
      </c>
      <c r="C57" s="9" t="n">
        <f aca="false">IF(A57&lt;=Resultados!$B$9,Resultados!$B$10,0)</f>
        <v>0</v>
      </c>
      <c r="D57" s="9" t="n">
        <f aca="false">Resultados!$E$37*$B57-Resultados!$F$37*$B57-Premissas!$B$24-Resultados!$E$37*$B57*(Premissas!$B$14/100)</f>
        <v>19027</v>
      </c>
      <c r="E57" s="9" t="n">
        <f aca="false">D57-$C57</f>
        <v>19027</v>
      </c>
      <c r="F57" s="9" t="n">
        <f aca="false">F56+E57</f>
        <v>618827.9</v>
      </c>
      <c r="G57" s="37" t="str">
        <f aca="false">IF(AND(F56&lt;0,F57&gt;=0,A57&lt;=MAX(120,Premissas!$B$15*12)),(A57-1)+(-F56)/E57,"")</f>
        <v/>
      </c>
      <c r="H57" s="9" t="n">
        <f aca="false">Resultados!$E$38*$B57-Resultados!$F$38*$B57-Premissas!$B$24-Resultados!$E$38*$B57*(Premissas!$B$14/100)</f>
        <v>24432.4</v>
      </c>
      <c r="I57" s="9" t="n">
        <f aca="false">H57-$C57</f>
        <v>24432.4</v>
      </c>
      <c r="J57" s="9" t="n">
        <f aca="false">J56+I57</f>
        <v>887476.280000001</v>
      </c>
      <c r="K57" s="37" t="str">
        <f aca="false">IF(AND(J56&lt;0,J57&gt;=0,A57&lt;=MAX(120,Premissas!$B$15*12)),(A57-1)+(-J56)/I57,"")</f>
        <v/>
      </c>
      <c r="L57" s="9" t="n">
        <f aca="false">Resultados!$E$39*$B57-Resultados!$F$39*$B57-Premissas!$B$24-Resultados!$E$39*$B57*(Premissas!$B$14/100)</f>
        <v>29837.8</v>
      </c>
      <c r="M57" s="9" t="n">
        <f aca="false">L57-$C57</f>
        <v>29837.8</v>
      </c>
      <c r="N57" s="9" t="n">
        <f aca="false">N56+M57</f>
        <v>1156124.66</v>
      </c>
      <c r="O57" s="37" t="str">
        <f aca="false">IF(AND(N56&lt;0,N57&gt;=0,A57&lt;=MAX(120,Premissas!$B$15*12)),(A57-1)+(-N56)/M57,"")</f>
        <v/>
      </c>
      <c r="P57" s="9" t="n">
        <f aca="false">Resultados!$B$19*$B57-Resultados!$B$20*$B57-Premissas!$B$24-Resultados!$B$19*$B57*(Premissas!$B$14/100)</f>
        <v>24432.4</v>
      </c>
      <c r="Q57" s="9" t="n">
        <f aca="false">P57-$C57</f>
        <v>24432.4</v>
      </c>
      <c r="R57" s="9" t="n">
        <f aca="false">R56+Q57</f>
        <v>887476.280000001</v>
      </c>
      <c r="S57" s="37" t="str">
        <f aca="false">IF(AND(R56&lt;0,R57&gt;=0,A57&lt;=MAX(120,Premissas!$B$15*12)),(A57-1)+(-R56)/Q57,"")</f>
        <v/>
      </c>
    </row>
    <row r="58" customFormat="false" ht="15" hidden="false" customHeight="false" outlineLevel="0" collapsed="false">
      <c r="A58" s="10" t="n">
        <f aca="false">A57+1</f>
        <v>54</v>
      </c>
      <c r="B58" s="36" t="n">
        <f aca="false">IF(Premissas!$B$9&lt;=1,1,MIN(1,Premissas!$B$8/100+(1-Premissas!$B$8/100)*(A58-1)/(Premissas!$B$9-1)))</f>
        <v>1</v>
      </c>
      <c r="C58" s="9" t="n">
        <f aca="false">IF(A58&lt;=Resultados!$B$9,Resultados!$B$10,0)</f>
        <v>0</v>
      </c>
      <c r="D58" s="9" t="n">
        <f aca="false">Resultados!$E$37*$B58-Resultados!$F$37*$B58-Premissas!$B$24-Resultados!$E$37*$B58*(Premissas!$B$14/100)</f>
        <v>19027</v>
      </c>
      <c r="E58" s="9" t="n">
        <f aca="false">D58-$C58</f>
        <v>19027</v>
      </c>
      <c r="F58" s="9" t="n">
        <f aca="false">F57+E58</f>
        <v>637854.9</v>
      </c>
      <c r="G58" s="37" t="str">
        <f aca="false">IF(AND(F57&lt;0,F58&gt;=0,A58&lt;=MAX(120,Premissas!$B$15*12)),(A58-1)+(-F57)/E58,"")</f>
        <v/>
      </c>
      <c r="H58" s="9" t="n">
        <f aca="false">Resultados!$E$38*$B58-Resultados!$F$38*$B58-Premissas!$B$24-Resultados!$E$38*$B58*(Premissas!$B$14/100)</f>
        <v>24432.4</v>
      </c>
      <c r="I58" s="9" t="n">
        <f aca="false">H58-$C58</f>
        <v>24432.4</v>
      </c>
      <c r="J58" s="9" t="n">
        <f aca="false">J57+I58</f>
        <v>911908.680000001</v>
      </c>
      <c r="K58" s="37" t="str">
        <f aca="false">IF(AND(J57&lt;0,J58&gt;=0,A58&lt;=MAX(120,Premissas!$B$15*12)),(A58-1)+(-J57)/I58,"")</f>
        <v/>
      </c>
      <c r="L58" s="9" t="n">
        <f aca="false">Resultados!$E$39*$B58-Resultados!$F$39*$B58-Premissas!$B$24-Resultados!$E$39*$B58*(Premissas!$B$14/100)</f>
        <v>29837.8</v>
      </c>
      <c r="M58" s="9" t="n">
        <f aca="false">L58-$C58</f>
        <v>29837.8</v>
      </c>
      <c r="N58" s="9" t="n">
        <f aca="false">N57+M58</f>
        <v>1185962.46</v>
      </c>
      <c r="O58" s="37" t="str">
        <f aca="false">IF(AND(N57&lt;0,N58&gt;=0,A58&lt;=MAX(120,Premissas!$B$15*12)),(A58-1)+(-N57)/M58,"")</f>
        <v/>
      </c>
      <c r="P58" s="9" t="n">
        <f aca="false">Resultados!$B$19*$B58-Resultados!$B$20*$B58-Premissas!$B$24-Resultados!$B$19*$B58*(Premissas!$B$14/100)</f>
        <v>24432.4</v>
      </c>
      <c r="Q58" s="9" t="n">
        <f aca="false">P58-$C58</f>
        <v>24432.4</v>
      </c>
      <c r="R58" s="9" t="n">
        <f aca="false">R57+Q58</f>
        <v>911908.680000001</v>
      </c>
      <c r="S58" s="37" t="str">
        <f aca="false">IF(AND(R57&lt;0,R58&gt;=0,A58&lt;=MAX(120,Premissas!$B$15*12)),(A58-1)+(-R57)/Q58,"")</f>
        <v/>
      </c>
    </row>
    <row r="59" customFormat="false" ht="15" hidden="false" customHeight="false" outlineLevel="0" collapsed="false">
      <c r="A59" s="10" t="n">
        <f aca="false">A58+1</f>
        <v>55</v>
      </c>
      <c r="B59" s="36" t="n">
        <f aca="false">IF(Premissas!$B$9&lt;=1,1,MIN(1,Premissas!$B$8/100+(1-Premissas!$B$8/100)*(A59-1)/(Premissas!$B$9-1)))</f>
        <v>1</v>
      </c>
      <c r="C59" s="9" t="n">
        <f aca="false">IF(A59&lt;=Resultados!$B$9,Resultados!$B$10,0)</f>
        <v>0</v>
      </c>
      <c r="D59" s="9" t="n">
        <f aca="false">Resultados!$E$37*$B59-Resultados!$F$37*$B59-Premissas!$B$24-Resultados!$E$37*$B59*(Premissas!$B$14/100)</f>
        <v>19027</v>
      </c>
      <c r="E59" s="9" t="n">
        <f aca="false">D59-$C59</f>
        <v>19027</v>
      </c>
      <c r="F59" s="9" t="n">
        <f aca="false">F58+E59</f>
        <v>656881.9</v>
      </c>
      <c r="G59" s="37" t="str">
        <f aca="false">IF(AND(F58&lt;0,F59&gt;=0,A59&lt;=MAX(120,Premissas!$B$15*12)),(A59-1)+(-F58)/E59,"")</f>
        <v/>
      </c>
      <c r="H59" s="9" t="n">
        <f aca="false">Resultados!$E$38*$B59-Resultados!$F$38*$B59-Premissas!$B$24-Resultados!$E$38*$B59*(Premissas!$B$14/100)</f>
        <v>24432.4</v>
      </c>
      <c r="I59" s="9" t="n">
        <f aca="false">H59-$C59</f>
        <v>24432.4</v>
      </c>
      <c r="J59" s="9" t="n">
        <f aca="false">J58+I59</f>
        <v>936341.080000001</v>
      </c>
      <c r="K59" s="37" t="str">
        <f aca="false">IF(AND(J58&lt;0,J59&gt;=0,A59&lt;=MAX(120,Premissas!$B$15*12)),(A59-1)+(-J58)/I59,"")</f>
        <v/>
      </c>
      <c r="L59" s="9" t="n">
        <f aca="false">Resultados!$E$39*$B59-Resultados!$F$39*$B59-Premissas!$B$24-Resultados!$E$39*$B59*(Premissas!$B$14/100)</f>
        <v>29837.8</v>
      </c>
      <c r="M59" s="9" t="n">
        <f aca="false">L59-$C59</f>
        <v>29837.8</v>
      </c>
      <c r="N59" s="9" t="n">
        <f aca="false">N58+M59</f>
        <v>1215800.26</v>
      </c>
      <c r="O59" s="37" t="str">
        <f aca="false">IF(AND(N58&lt;0,N59&gt;=0,A59&lt;=MAX(120,Premissas!$B$15*12)),(A59-1)+(-N58)/M59,"")</f>
        <v/>
      </c>
      <c r="P59" s="9" t="n">
        <f aca="false">Resultados!$B$19*$B59-Resultados!$B$20*$B59-Premissas!$B$24-Resultados!$B$19*$B59*(Premissas!$B$14/100)</f>
        <v>24432.4</v>
      </c>
      <c r="Q59" s="9" t="n">
        <f aca="false">P59-$C59</f>
        <v>24432.4</v>
      </c>
      <c r="R59" s="9" t="n">
        <f aca="false">R58+Q59</f>
        <v>936341.080000001</v>
      </c>
      <c r="S59" s="37" t="str">
        <f aca="false">IF(AND(R58&lt;0,R59&gt;=0,A59&lt;=MAX(120,Premissas!$B$15*12)),(A59-1)+(-R58)/Q59,"")</f>
        <v/>
      </c>
    </row>
    <row r="60" customFormat="false" ht="15" hidden="false" customHeight="false" outlineLevel="0" collapsed="false">
      <c r="A60" s="10" t="n">
        <f aca="false">A59+1</f>
        <v>56</v>
      </c>
      <c r="B60" s="36" t="n">
        <f aca="false">IF(Premissas!$B$9&lt;=1,1,MIN(1,Premissas!$B$8/100+(1-Premissas!$B$8/100)*(A60-1)/(Premissas!$B$9-1)))</f>
        <v>1</v>
      </c>
      <c r="C60" s="9" t="n">
        <f aca="false">IF(A60&lt;=Resultados!$B$9,Resultados!$B$10,0)</f>
        <v>0</v>
      </c>
      <c r="D60" s="9" t="n">
        <f aca="false">Resultados!$E$37*$B60-Resultados!$F$37*$B60-Premissas!$B$24-Resultados!$E$37*$B60*(Premissas!$B$14/100)</f>
        <v>19027</v>
      </c>
      <c r="E60" s="9" t="n">
        <f aca="false">D60-$C60</f>
        <v>19027</v>
      </c>
      <c r="F60" s="9" t="n">
        <f aca="false">F59+E60</f>
        <v>675908.9</v>
      </c>
      <c r="G60" s="37" t="str">
        <f aca="false">IF(AND(F59&lt;0,F60&gt;=0,A60&lt;=MAX(120,Premissas!$B$15*12)),(A60-1)+(-F59)/E60,"")</f>
        <v/>
      </c>
      <c r="H60" s="9" t="n">
        <f aca="false">Resultados!$E$38*$B60-Resultados!$F$38*$B60-Premissas!$B$24-Resultados!$E$38*$B60*(Premissas!$B$14/100)</f>
        <v>24432.4</v>
      </c>
      <c r="I60" s="9" t="n">
        <f aca="false">H60-$C60</f>
        <v>24432.4</v>
      </c>
      <c r="J60" s="9" t="n">
        <f aca="false">J59+I60</f>
        <v>960773.480000001</v>
      </c>
      <c r="K60" s="37" t="str">
        <f aca="false">IF(AND(J59&lt;0,J60&gt;=0,A60&lt;=MAX(120,Premissas!$B$15*12)),(A60-1)+(-J59)/I60,"")</f>
        <v/>
      </c>
      <c r="L60" s="9" t="n">
        <f aca="false">Resultados!$E$39*$B60-Resultados!$F$39*$B60-Premissas!$B$24-Resultados!$E$39*$B60*(Premissas!$B$14/100)</f>
        <v>29837.8</v>
      </c>
      <c r="M60" s="9" t="n">
        <f aca="false">L60-$C60</f>
        <v>29837.8</v>
      </c>
      <c r="N60" s="9" t="n">
        <f aca="false">N59+M60</f>
        <v>1245638.06</v>
      </c>
      <c r="O60" s="37" t="str">
        <f aca="false">IF(AND(N59&lt;0,N60&gt;=0,A60&lt;=MAX(120,Premissas!$B$15*12)),(A60-1)+(-N59)/M60,"")</f>
        <v/>
      </c>
      <c r="P60" s="9" t="n">
        <f aca="false">Resultados!$B$19*$B60-Resultados!$B$20*$B60-Premissas!$B$24-Resultados!$B$19*$B60*(Premissas!$B$14/100)</f>
        <v>24432.4</v>
      </c>
      <c r="Q60" s="9" t="n">
        <f aca="false">P60-$C60</f>
        <v>24432.4</v>
      </c>
      <c r="R60" s="9" t="n">
        <f aca="false">R59+Q60</f>
        <v>960773.480000001</v>
      </c>
      <c r="S60" s="37" t="str">
        <f aca="false">IF(AND(R59&lt;0,R60&gt;=0,A60&lt;=MAX(120,Premissas!$B$15*12)),(A60-1)+(-R59)/Q60,"")</f>
        <v/>
      </c>
    </row>
    <row r="61" customFormat="false" ht="15" hidden="false" customHeight="false" outlineLevel="0" collapsed="false">
      <c r="A61" s="10" t="n">
        <f aca="false">A60+1</f>
        <v>57</v>
      </c>
      <c r="B61" s="36" t="n">
        <f aca="false">IF(Premissas!$B$9&lt;=1,1,MIN(1,Premissas!$B$8/100+(1-Premissas!$B$8/100)*(A61-1)/(Premissas!$B$9-1)))</f>
        <v>1</v>
      </c>
      <c r="C61" s="9" t="n">
        <f aca="false">IF(A61&lt;=Resultados!$B$9,Resultados!$B$10,0)</f>
        <v>0</v>
      </c>
      <c r="D61" s="9" t="n">
        <f aca="false">Resultados!$E$37*$B61-Resultados!$F$37*$B61-Premissas!$B$24-Resultados!$E$37*$B61*(Premissas!$B$14/100)</f>
        <v>19027</v>
      </c>
      <c r="E61" s="9" t="n">
        <f aca="false">D61-$C61</f>
        <v>19027</v>
      </c>
      <c r="F61" s="9" t="n">
        <f aca="false">F60+E61</f>
        <v>694935.9</v>
      </c>
      <c r="G61" s="37" t="str">
        <f aca="false">IF(AND(F60&lt;0,F61&gt;=0,A61&lt;=MAX(120,Premissas!$B$15*12)),(A61-1)+(-F60)/E61,"")</f>
        <v/>
      </c>
      <c r="H61" s="9" t="n">
        <f aca="false">Resultados!$E$38*$B61-Resultados!$F$38*$B61-Premissas!$B$24-Resultados!$E$38*$B61*(Premissas!$B$14/100)</f>
        <v>24432.4</v>
      </c>
      <c r="I61" s="9" t="n">
        <f aca="false">H61-$C61</f>
        <v>24432.4</v>
      </c>
      <c r="J61" s="9" t="n">
        <f aca="false">J60+I61</f>
        <v>985205.880000001</v>
      </c>
      <c r="K61" s="37" t="str">
        <f aca="false">IF(AND(J60&lt;0,J61&gt;=0,A61&lt;=MAX(120,Premissas!$B$15*12)),(A61-1)+(-J60)/I61,"")</f>
        <v/>
      </c>
      <c r="L61" s="9" t="n">
        <f aca="false">Resultados!$E$39*$B61-Resultados!$F$39*$B61-Premissas!$B$24-Resultados!$E$39*$B61*(Premissas!$B$14/100)</f>
        <v>29837.8</v>
      </c>
      <c r="M61" s="9" t="n">
        <f aca="false">L61-$C61</f>
        <v>29837.8</v>
      </c>
      <c r="N61" s="9" t="n">
        <f aca="false">N60+M61</f>
        <v>1275475.86</v>
      </c>
      <c r="O61" s="37" t="str">
        <f aca="false">IF(AND(N60&lt;0,N61&gt;=0,A61&lt;=MAX(120,Premissas!$B$15*12)),(A61-1)+(-N60)/M61,"")</f>
        <v/>
      </c>
      <c r="P61" s="9" t="n">
        <f aca="false">Resultados!$B$19*$B61-Resultados!$B$20*$B61-Premissas!$B$24-Resultados!$B$19*$B61*(Premissas!$B$14/100)</f>
        <v>24432.4</v>
      </c>
      <c r="Q61" s="9" t="n">
        <f aca="false">P61-$C61</f>
        <v>24432.4</v>
      </c>
      <c r="R61" s="9" t="n">
        <f aca="false">R60+Q61</f>
        <v>985205.880000001</v>
      </c>
      <c r="S61" s="37" t="str">
        <f aca="false">IF(AND(R60&lt;0,R61&gt;=0,A61&lt;=MAX(120,Premissas!$B$15*12)),(A61-1)+(-R60)/Q61,"")</f>
        <v/>
      </c>
    </row>
    <row r="62" customFormat="false" ht="15" hidden="false" customHeight="false" outlineLevel="0" collapsed="false">
      <c r="A62" s="10" t="n">
        <f aca="false">A61+1</f>
        <v>58</v>
      </c>
      <c r="B62" s="36" t="n">
        <f aca="false">IF(Premissas!$B$9&lt;=1,1,MIN(1,Premissas!$B$8/100+(1-Premissas!$B$8/100)*(A62-1)/(Premissas!$B$9-1)))</f>
        <v>1</v>
      </c>
      <c r="C62" s="9" t="n">
        <f aca="false">IF(A62&lt;=Resultados!$B$9,Resultados!$B$10,0)</f>
        <v>0</v>
      </c>
      <c r="D62" s="9" t="n">
        <f aca="false">Resultados!$E$37*$B62-Resultados!$F$37*$B62-Premissas!$B$24-Resultados!$E$37*$B62*(Premissas!$B$14/100)</f>
        <v>19027</v>
      </c>
      <c r="E62" s="9" t="n">
        <f aca="false">D62-$C62</f>
        <v>19027</v>
      </c>
      <c r="F62" s="9" t="n">
        <f aca="false">F61+E62</f>
        <v>713962.9</v>
      </c>
      <c r="G62" s="37" t="str">
        <f aca="false">IF(AND(F61&lt;0,F62&gt;=0,A62&lt;=MAX(120,Premissas!$B$15*12)),(A62-1)+(-F61)/E62,"")</f>
        <v/>
      </c>
      <c r="H62" s="9" t="n">
        <f aca="false">Resultados!$E$38*$B62-Resultados!$F$38*$B62-Premissas!$B$24-Resultados!$E$38*$B62*(Premissas!$B$14/100)</f>
        <v>24432.4</v>
      </c>
      <c r="I62" s="9" t="n">
        <f aca="false">H62-$C62</f>
        <v>24432.4</v>
      </c>
      <c r="J62" s="9" t="n">
        <f aca="false">J61+I62</f>
        <v>1009638.28</v>
      </c>
      <c r="K62" s="37" t="str">
        <f aca="false">IF(AND(J61&lt;0,J62&gt;=0,A62&lt;=MAX(120,Premissas!$B$15*12)),(A62-1)+(-J61)/I62,"")</f>
        <v/>
      </c>
      <c r="L62" s="9" t="n">
        <f aca="false">Resultados!$E$39*$B62-Resultados!$F$39*$B62-Premissas!$B$24-Resultados!$E$39*$B62*(Premissas!$B$14/100)</f>
        <v>29837.8</v>
      </c>
      <c r="M62" s="9" t="n">
        <f aca="false">L62-$C62</f>
        <v>29837.8</v>
      </c>
      <c r="N62" s="9" t="n">
        <f aca="false">N61+M62</f>
        <v>1305313.66</v>
      </c>
      <c r="O62" s="37" t="str">
        <f aca="false">IF(AND(N61&lt;0,N62&gt;=0,A62&lt;=MAX(120,Premissas!$B$15*12)),(A62-1)+(-N61)/M62,"")</f>
        <v/>
      </c>
      <c r="P62" s="9" t="n">
        <f aca="false">Resultados!$B$19*$B62-Resultados!$B$20*$B62-Premissas!$B$24-Resultados!$B$19*$B62*(Premissas!$B$14/100)</f>
        <v>24432.4</v>
      </c>
      <c r="Q62" s="9" t="n">
        <f aca="false">P62-$C62</f>
        <v>24432.4</v>
      </c>
      <c r="R62" s="9" t="n">
        <f aca="false">R61+Q62</f>
        <v>1009638.28</v>
      </c>
      <c r="S62" s="37" t="str">
        <f aca="false">IF(AND(R61&lt;0,R62&gt;=0,A62&lt;=MAX(120,Premissas!$B$15*12)),(A62-1)+(-R61)/Q62,"")</f>
        <v/>
      </c>
    </row>
    <row r="63" customFormat="false" ht="15" hidden="false" customHeight="false" outlineLevel="0" collapsed="false">
      <c r="A63" s="10" t="n">
        <f aca="false">A62+1</f>
        <v>59</v>
      </c>
      <c r="B63" s="36" t="n">
        <f aca="false">IF(Premissas!$B$9&lt;=1,1,MIN(1,Premissas!$B$8/100+(1-Premissas!$B$8/100)*(A63-1)/(Premissas!$B$9-1)))</f>
        <v>1</v>
      </c>
      <c r="C63" s="9" t="n">
        <f aca="false">IF(A63&lt;=Resultados!$B$9,Resultados!$B$10,0)</f>
        <v>0</v>
      </c>
      <c r="D63" s="9" t="n">
        <f aca="false">Resultados!$E$37*$B63-Resultados!$F$37*$B63-Premissas!$B$24-Resultados!$E$37*$B63*(Premissas!$B$14/100)</f>
        <v>19027</v>
      </c>
      <c r="E63" s="9" t="n">
        <f aca="false">D63-$C63</f>
        <v>19027</v>
      </c>
      <c r="F63" s="9" t="n">
        <f aca="false">F62+E63</f>
        <v>732989.9</v>
      </c>
      <c r="G63" s="37" t="str">
        <f aca="false">IF(AND(F62&lt;0,F63&gt;=0,A63&lt;=MAX(120,Premissas!$B$15*12)),(A63-1)+(-F62)/E63,"")</f>
        <v/>
      </c>
      <c r="H63" s="9" t="n">
        <f aca="false">Resultados!$E$38*$B63-Resultados!$F$38*$B63-Premissas!$B$24-Resultados!$E$38*$B63*(Premissas!$B$14/100)</f>
        <v>24432.4</v>
      </c>
      <c r="I63" s="9" t="n">
        <f aca="false">H63-$C63</f>
        <v>24432.4</v>
      </c>
      <c r="J63" s="9" t="n">
        <f aca="false">J62+I63</f>
        <v>1034070.68</v>
      </c>
      <c r="K63" s="37" t="str">
        <f aca="false">IF(AND(J62&lt;0,J63&gt;=0,A63&lt;=MAX(120,Premissas!$B$15*12)),(A63-1)+(-J62)/I63,"")</f>
        <v/>
      </c>
      <c r="L63" s="9" t="n">
        <f aca="false">Resultados!$E$39*$B63-Resultados!$F$39*$B63-Premissas!$B$24-Resultados!$E$39*$B63*(Premissas!$B$14/100)</f>
        <v>29837.8</v>
      </c>
      <c r="M63" s="9" t="n">
        <f aca="false">L63-$C63</f>
        <v>29837.8</v>
      </c>
      <c r="N63" s="9" t="n">
        <f aca="false">N62+M63</f>
        <v>1335151.46</v>
      </c>
      <c r="O63" s="37" t="str">
        <f aca="false">IF(AND(N62&lt;0,N63&gt;=0,A63&lt;=MAX(120,Premissas!$B$15*12)),(A63-1)+(-N62)/M63,"")</f>
        <v/>
      </c>
      <c r="P63" s="9" t="n">
        <f aca="false">Resultados!$B$19*$B63-Resultados!$B$20*$B63-Premissas!$B$24-Resultados!$B$19*$B63*(Premissas!$B$14/100)</f>
        <v>24432.4</v>
      </c>
      <c r="Q63" s="9" t="n">
        <f aca="false">P63-$C63</f>
        <v>24432.4</v>
      </c>
      <c r="R63" s="9" t="n">
        <f aca="false">R62+Q63</f>
        <v>1034070.68</v>
      </c>
      <c r="S63" s="37" t="str">
        <f aca="false">IF(AND(R62&lt;0,R63&gt;=0,A63&lt;=MAX(120,Premissas!$B$15*12)),(A63-1)+(-R62)/Q63,"")</f>
        <v/>
      </c>
    </row>
    <row r="64" customFormat="false" ht="15" hidden="false" customHeight="false" outlineLevel="0" collapsed="false">
      <c r="A64" s="10" t="n">
        <f aca="false">A63+1</f>
        <v>60</v>
      </c>
      <c r="B64" s="36" t="n">
        <f aca="false">IF(Premissas!$B$9&lt;=1,1,MIN(1,Premissas!$B$8/100+(1-Premissas!$B$8/100)*(A64-1)/(Premissas!$B$9-1)))</f>
        <v>1</v>
      </c>
      <c r="C64" s="9" t="n">
        <f aca="false">IF(A64&lt;=Resultados!$B$9,Resultados!$B$10,0)</f>
        <v>0</v>
      </c>
      <c r="D64" s="9" t="n">
        <f aca="false">Resultados!$E$37*$B64-Resultados!$F$37*$B64-Premissas!$B$24-Resultados!$E$37*$B64*(Premissas!$B$14/100)</f>
        <v>19027</v>
      </c>
      <c r="E64" s="9" t="n">
        <f aca="false">D64-$C64</f>
        <v>19027</v>
      </c>
      <c r="F64" s="9" t="n">
        <f aca="false">F63+E64</f>
        <v>752016.9</v>
      </c>
      <c r="G64" s="37" t="str">
        <f aca="false">IF(AND(F63&lt;0,F64&gt;=0,A64&lt;=MAX(120,Premissas!$B$15*12)),(A64-1)+(-F63)/E64,"")</f>
        <v/>
      </c>
      <c r="H64" s="9" t="n">
        <f aca="false">Resultados!$E$38*$B64-Resultados!$F$38*$B64-Premissas!$B$24-Resultados!$E$38*$B64*(Premissas!$B$14/100)</f>
        <v>24432.4</v>
      </c>
      <c r="I64" s="9" t="n">
        <f aca="false">H64-$C64</f>
        <v>24432.4</v>
      </c>
      <c r="J64" s="9" t="n">
        <f aca="false">J63+I64</f>
        <v>1058503.08</v>
      </c>
      <c r="K64" s="37" t="str">
        <f aca="false">IF(AND(J63&lt;0,J64&gt;=0,A64&lt;=MAX(120,Premissas!$B$15*12)),(A64-1)+(-J63)/I64,"")</f>
        <v/>
      </c>
      <c r="L64" s="9" t="n">
        <f aca="false">Resultados!$E$39*$B64-Resultados!$F$39*$B64-Premissas!$B$24-Resultados!$E$39*$B64*(Premissas!$B$14/100)</f>
        <v>29837.8</v>
      </c>
      <c r="M64" s="9" t="n">
        <f aca="false">L64-$C64</f>
        <v>29837.8</v>
      </c>
      <c r="N64" s="9" t="n">
        <f aca="false">N63+M64</f>
        <v>1364989.26</v>
      </c>
      <c r="O64" s="37" t="str">
        <f aca="false">IF(AND(N63&lt;0,N64&gt;=0,A64&lt;=MAX(120,Premissas!$B$15*12)),(A64-1)+(-N63)/M64,"")</f>
        <v/>
      </c>
      <c r="P64" s="9" t="n">
        <f aca="false">Resultados!$B$19*$B64-Resultados!$B$20*$B64-Premissas!$B$24-Resultados!$B$19*$B64*(Premissas!$B$14/100)</f>
        <v>24432.4</v>
      </c>
      <c r="Q64" s="9" t="n">
        <f aca="false">P64-$C64</f>
        <v>24432.4</v>
      </c>
      <c r="R64" s="9" t="n">
        <f aca="false">R63+Q64</f>
        <v>1058503.08</v>
      </c>
      <c r="S64" s="37" t="str">
        <f aca="false">IF(AND(R63&lt;0,R64&gt;=0,A64&lt;=MAX(120,Premissas!$B$15*12)),(A64-1)+(-R63)/Q64,"")</f>
        <v/>
      </c>
    </row>
    <row r="65" customFormat="false" ht="15" hidden="false" customHeight="false" outlineLevel="0" collapsed="false">
      <c r="A65" s="10" t="n">
        <f aca="false">A64+1</f>
        <v>61</v>
      </c>
      <c r="B65" s="36" t="n">
        <f aca="false">IF(Premissas!$B$9&lt;=1,1,MIN(1,Premissas!$B$8/100+(1-Premissas!$B$8/100)*(A65-1)/(Premissas!$B$9-1)))</f>
        <v>1</v>
      </c>
      <c r="C65" s="9" t="n">
        <f aca="false">IF(A65&lt;=Resultados!$B$9,Resultados!$B$10,0)</f>
        <v>0</v>
      </c>
      <c r="D65" s="9" t="n">
        <f aca="false">Resultados!$E$37*$B65-Resultados!$F$37*$B65-Premissas!$B$24-Resultados!$E$37*$B65*(Premissas!$B$14/100)</f>
        <v>19027</v>
      </c>
      <c r="E65" s="9" t="n">
        <f aca="false">D65-$C65</f>
        <v>19027</v>
      </c>
      <c r="F65" s="9" t="n">
        <f aca="false">F64+E65</f>
        <v>771043.9</v>
      </c>
      <c r="G65" s="37" t="str">
        <f aca="false">IF(AND(F64&lt;0,F65&gt;=0,A65&lt;=MAX(120,Premissas!$B$15*12)),(A65-1)+(-F64)/E65,"")</f>
        <v/>
      </c>
      <c r="H65" s="9" t="n">
        <f aca="false">Resultados!$E$38*$B65-Resultados!$F$38*$B65-Premissas!$B$24-Resultados!$E$38*$B65*(Premissas!$B$14/100)</f>
        <v>24432.4</v>
      </c>
      <c r="I65" s="9" t="n">
        <f aca="false">H65-$C65</f>
        <v>24432.4</v>
      </c>
      <c r="J65" s="9" t="n">
        <f aca="false">J64+I65</f>
        <v>1082935.48</v>
      </c>
      <c r="K65" s="37" t="str">
        <f aca="false">IF(AND(J64&lt;0,J65&gt;=0,A65&lt;=MAX(120,Premissas!$B$15*12)),(A65-1)+(-J64)/I65,"")</f>
        <v/>
      </c>
      <c r="L65" s="9" t="n">
        <f aca="false">Resultados!$E$39*$B65-Resultados!$F$39*$B65-Premissas!$B$24-Resultados!$E$39*$B65*(Premissas!$B$14/100)</f>
        <v>29837.8</v>
      </c>
      <c r="M65" s="9" t="n">
        <f aca="false">L65-$C65</f>
        <v>29837.8</v>
      </c>
      <c r="N65" s="9" t="n">
        <f aca="false">N64+M65</f>
        <v>1394827.06</v>
      </c>
      <c r="O65" s="37" t="str">
        <f aca="false">IF(AND(N64&lt;0,N65&gt;=0,A65&lt;=MAX(120,Premissas!$B$15*12)),(A65-1)+(-N64)/M65,"")</f>
        <v/>
      </c>
      <c r="P65" s="9" t="n">
        <f aca="false">Resultados!$B$19*$B65-Resultados!$B$20*$B65-Premissas!$B$24-Resultados!$B$19*$B65*(Premissas!$B$14/100)</f>
        <v>24432.4</v>
      </c>
      <c r="Q65" s="9" t="n">
        <f aca="false">P65-$C65</f>
        <v>24432.4</v>
      </c>
      <c r="R65" s="9" t="n">
        <f aca="false">R64+Q65</f>
        <v>1082935.48</v>
      </c>
      <c r="S65" s="37" t="str">
        <f aca="false">IF(AND(R64&lt;0,R65&gt;=0,A65&lt;=MAX(120,Premissas!$B$15*12)),(A65-1)+(-R64)/Q65,"")</f>
        <v/>
      </c>
    </row>
    <row r="66" customFormat="false" ht="15" hidden="false" customHeight="false" outlineLevel="0" collapsed="false">
      <c r="A66" s="10" t="n">
        <f aca="false">A65+1</f>
        <v>62</v>
      </c>
      <c r="B66" s="36" t="n">
        <f aca="false">IF(Premissas!$B$9&lt;=1,1,MIN(1,Premissas!$B$8/100+(1-Premissas!$B$8/100)*(A66-1)/(Premissas!$B$9-1)))</f>
        <v>1</v>
      </c>
      <c r="C66" s="9" t="n">
        <f aca="false">IF(A66&lt;=Resultados!$B$9,Resultados!$B$10,0)</f>
        <v>0</v>
      </c>
      <c r="D66" s="9" t="n">
        <f aca="false">Resultados!$E$37*$B66-Resultados!$F$37*$B66-Premissas!$B$24-Resultados!$E$37*$B66*(Premissas!$B$14/100)</f>
        <v>19027</v>
      </c>
      <c r="E66" s="9" t="n">
        <f aca="false">D66-$C66</f>
        <v>19027</v>
      </c>
      <c r="F66" s="9" t="n">
        <f aca="false">F65+E66</f>
        <v>790070.9</v>
      </c>
      <c r="G66" s="37" t="str">
        <f aca="false">IF(AND(F65&lt;0,F66&gt;=0,A66&lt;=MAX(120,Premissas!$B$15*12)),(A66-1)+(-F65)/E66,"")</f>
        <v/>
      </c>
      <c r="H66" s="9" t="n">
        <f aca="false">Resultados!$E$38*$B66-Resultados!$F$38*$B66-Premissas!$B$24-Resultados!$E$38*$B66*(Premissas!$B$14/100)</f>
        <v>24432.4</v>
      </c>
      <c r="I66" s="9" t="n">
        <f aca="false">H66-$C66</f>
        <v>24432.4</v>
      </c>
      <c r="J66" s="9" t="n">
        <f aca="false">J65+I66</f>
        <v>1107367.88</v>
      </c>
      <c r="K66" s="37" t="str">
        <f aca="false">IF(AND(J65&lt;0,J66&gt;=0,A66&lt;=MAX(120,Premissas!$B$15*12)),(A66-1)+(-J65)/I66,"")</f>
        <v/>
      </c>
      <c r="L66" s="9" t="n">
        <f aca="false">Resultados!$E$39*$B66-Resultados!$F$39*$B66-Premissas!$B$24-Resultados!$E$39*$B66*(Premissas!$B$14/100)</f>
        <v>29837.8</v>
      </c>
      <c r="M66" s="9" t="n">
        <f aca="false">L66-$C66</f>
        <v>29837.8</v>
      </c>
      <c r="N66" s="9" t="n">
        <f aca="false">N65+M66</f>
        <v>1424664.86</v>
      </c>
      <c r="O66" s="37" t="str">
        <f aca="false">IF(AND(N65&lt;0,N66&gt;=0,A66&lt;=MAX(120,Premissas!$B$15*12)),(A66-1)+(-N65)/M66,"")</f>
        <v/>
      </c>
      <c r="P66" s="9" t="n">
        <f aca="false">Resultados!$B$19*$B66-Resultados!$B$20*$B66-Premissas!$B$24-Resultados!$B$19*$B66*(Premissas!$B$14/100)</f>
        <v>24432.4</v>
      </c>
      <c r="Q66" s="9" t="n">
        <f aca="false">P66-$C66</f>
        <v>24432.4</v>
      </c>
      <c r="R66" s="9" t="n">
        <f aca="false">R65+Q66</f>
        <v>1107367.88</v>
      </c>
      <c r="S66" s="37" t="str">
        <f aca="false">IF(AND(R65&lt;0,R66&gt;=0,A66&lt;=MAX(120,Premissas!$B$15*12)),(A66-1)+(-R65)/Q66,"")</f>
        <v/>
      </c>
    </row>
    <row r="67" customFormat="false" ht="15" hidden="false" customHeight="false" outlineLevel="0" collapsed="false">
      <c r="A67" s="10" t="n">
        <f aca="false">A66+1</f>
        <v>63</v>
      </c>
      <c r="B67" s="36" t="n">
        <f aca="false">IF(Premissas!$B$9&lt;=1,1,MIN(1,Premissas!$B$8/100+(1-Premissas!$B$8/100)*(A67-1)/(Premissas!$B$9-1)))</f>
        <v>1</v>
      </c>
      <c r="C67" s="9" t="n">
        <f aca="false">IF(A67&lt;=Resultados!$B$9,Resultados!$B$10,0)</f>
        <v>0</v>
      </c>
      <c r="D67" s="9" t="n">
        <f aca="false">Resultados!$E$37*$B67-Resultados!$F$37*$B67-Premissas!$B$24-Resultados!$E$37*$B67*(Premissas!$B$14/100)</f>
        <v>19027</v>
      </c>
      <c r="E67" s="9" t="n">
        <f aca="false">D67-$C67</f>
        <v>19027</v>
      </c>
      <c r="F67" s="9" t="n">
        <f aca="false">F66+E67</f>
        <v>809097.9</v>
      </c>
      <c r="G67" s="37" t="str">
        <f aca="false">IF(AND(F66&lt;0,F67&gt;=0,A67&lt;=MAX(120,Premissas!$B$15*12)),(A67-1)+(-F66)/E67,"")</f>
        <v/>
      </c>
      <c r="H67" s="9" t="n">
        <f aca="false">Resultados!$E$38*$B67-Resultados!$F$38*$B67-Premissas!$B$24-Resultados!$E$38*$B67*(Premissas!$B$14/100)</f>
        <v>24432.4</v>
      </c>
      <c r="I67" s="9" t="n">
        <f aca="false">H67-$C67</f>
        <v>24432.4</v>
      </c>
      <c r="J67" s="9" t="n">
        <f aca="false">J66+I67</f>
        <v>1131800.28</v>
      </c>
      <c r="K67" s="37" t="str">
        <f aca="false">IF(AND(J66&lt;0,J67&gt;=0,A67&lt;=MAX(120,Premissas!$B$15*12)),(A67-1)+(-J66)/I67,"")</f>
        <v/>
      </c>
      <c r="L67" s="9" t="n">
        <f aca="false">Resultados!$E$39*$B67-Resultados!$F$39*$B67-Premissas!$B$24-Resultados!$E$39*$B67*(Premissas!$B$14/100)</f>
        <v>29837.8</v>
      </c>
      <c r="M67" s="9" t="n">
        <f aca="false">L67-$C67</f>
        <v>29837.8</v>
      </c>
      <c r="N67" s="9" t="n">
        <f aca="false">N66+M67</f>
        <v>1454502.66</v>
      </c>
      <c r="O67" s="37" t="str">
        <f aca="false">IF(AND(N66&lt;0,N67&gt;=0,A67&lt;=MAX(120,Premissas!$B$15*12)),(A67-1)+(-N66)/M67,"")</f>
        <v/>
      </c>
      <c r="P67" s="9" t="n">
        <f aca="false">Resultados!$B$19*$B67-Resultados!$B$20*$B67-Premissas!$B$24-Resultados!$B$19*$B67*(Premissas!$B$14/100)</f>
        <v>24432.4</v>
      </c>
      <c r="Q67" s="9" t="n">
        <f aca="false">P67-$C67</f>
        <v>24432.4</v>
      </c>
      <c r="R67" s="9" t="n">
        <f aca="false">R66+Q67</f>
        <v>1131800.28</v>
      </c>
      <c r="S67" s="37" t="str">
        <f aca="false">IF(AND(R66&lt;0,R67&gt;=0,A67&lt;=MAX(120,Premissas!$B$15*12)),(A67-1)+(-R66)/Q67,"")</f>
        <v/>
      </c>
    </row>
    <row r="68" customFormat="false" ht="15" hidden="false" customHeight="false" outlineLevel="0" collapsed="false">
      <c r="A68" s="10" t="n">
        <f aca="false">A67+1</f>
        <v>64</v>
      </c>
      <c r="B68" s="36" t="n">
        <f aca="false">IF(Premissas!$B$9&lt;=1,1,MIN(1,Premissas!$B$8/100+(1-Premissas!$B$8/100)*(A68-1)/(Premissas!$B$9-1)))</f>
        <v>1</v>
      </c>
      <c r="C68" s="9" t="n">
        <f aca="false">IF(A68&lt;=Resultados!$B$9,Resultados!$B$10,0)</f>
        <v>0</v>
      </c>
      <c r="D68" s="9" t="n">
        <f aca="false">Resultados!$E$37*$B68-Resultados!$F$37*$B68-Premissas!$B$24-Resultados!$E$37*$B68*(Premissas!$B$14/100)</f>
        <v>19027</v>
      </c>
      <c r="E68" s="9" t="n">
        <f aca="false">D68-$C68</f>
        <v>19027</v>
      </c>
      <c r="F68" s="9" t="n">
        <f aca="false">F67+E68</f>
        <v>828124.9</v>
      </c>
      <c r="G68" s="37" t="str">
        <f aca="false">IF(AND(F67&lt;0,F68&gt;=0,A68&lt;=MAX(120,Premissas!$B$15*12)),(A68-1)+(-F67)/E68,"")</f>
        <v/>
      </c>
      <c r="H68" s="9" t="n">
        <f aca="false">Resultados!$E$38*$B68-Resultados!$F$38*$B68-Premissas!$B$24-Resultados!$E$38*$B68*(Premissas!$B$14/100)</f>
        <v>24432.4</v>
      </c>
      <c r="I68" s="9" t="n">
        <f aca="false">H68-$C68</f>
        <v>24432.4</v>
      </c>
      <c r="J68" s="9" t="n">
        <f aca="false">J67+I68</f>
        <v>1156232.68</v>
      </c>
      <c r="K68" s="37" t="str">
        <f aca="false">IF(AND(J67&lt;0,J68&gt;=0,A68&lt;=MAX(120,Premissas!$B$15*12)),(A68-1)+(-J67)/I68,"")</f>
        <v/>
      </c>
      <c r="L68" s="9" t="n">
        <f aca="false">Resultados!$E$39*$B68-Resultados!$F$39*$B68-Premissas!$B$24-Resultados!$E$39*$B68*(Premissas!$B$14/100)</f>
        <v>29837.8</v>
      </c>
      <c r="M68" s="9" t="n">
        <f aca="false">L68-$C68</f>
        <v>29837.8</v>
      </c>
      <c r="N68" s="9" t="n">
        <f aca="false">N67+M68</f>
        <v>1484340.46</v>
      </c>
      <c r="O68" s="37" t="str">
        <f aca="false">IF(AND(N67&lt;0,N68&gt;=0,A68&lt;=MAX(120,Premissas!$B$15*12)),(A68-1)+(-N67)/M68,"")</f>
        <v/>
      </c>
      <c r="P68" s="9" t="n">
        <f aca="false">Resultados!$B$19*$B68-Resultados!$B$20*$B68-Premissas!$B$24-Resultados!$B$19*$B68*(Premissas!$B$14/100)</f>
        <v>24432.4</v>
      </c>
      <c r="Q68" s="9" t="n">
        <f aca="false">P68-$C68</f>
        <v>24432.4</v>
      </c>
      <c r="R68" s="9" t="n">
        <f aca="false">R67+Q68</f>
        <v>1156232.68</v>
      </c>
      <c r="S68" s="37" t="str">
        <f aca="false">IF(AND(R67&lt;0,R68&gt;=0,A68&lt;=MAX(120,Premissas!$B$15*12)),(A68-1)+(-R67)/Q68,"")</f>
        <v/>
      </c>
    </row>
    <row r="69" customFormat="false" ht="15" hidden="false" customHeight="false" outlineLevel="0" collapsed="false">
      <c r="A69" s="10" t="n">
        <f aca="false">A68+1</f>
        <v>65</v>
      </c>
      <c r="B69" s="36" t="n">
        <f aca="false">IF(Premissas!$B$9&lt;=1,1,MIN(1,Premissas!$B$8/100+(1-Premissas!$B$8/100)*(A69-1)/(Premissas!$B$9-1)))</f>
        <v>1</v>
      </c>
      <c r="C69" s="9" t="n">
        <f aca="false">IF(A69&lt;=Resultados!$B$9,Resultados!$B$10,0)</f>
        <v>0</v>
      </c>
      <c r="D69" s="9" t="n">
        <f aca="false">Resultados!$E$37*$B69-Resultados!$F$37*$B69-Premissas!$B$24-Resultados!$E$37*$B69*(Premissas!$B$14/100)</f>
        <v>19027</v>
      </c>
      <c r="E69" s="9" t="n">
        <f aca="false">D69-$C69</f>
        <v>19027</v>
      </c>
      <c r="F69" s="9" t="n">
        <f aca="false">F68+E69</f>
        <v>847151.9</v>
      </c>
      <c r="G69" s="37" t="str">
        <f aca="false">IF(AND(F68&lt;0,F69&gt;=0,A69&lt;=MAX(120,Premissas!$B$15*12)),(A69-1)+(-F68)/E69,"")</f>
        <v/>
      </c>
      <c r="H69" s="9" t="n">
        <f aca="false">Resultados!$E$38*$B69-Resultados!$F$38*$B69-Premissas!$B$24-Resultados!$E$38*$B69*(Premissas!$B$14/100)</f>
        <v>24432.4</v>
      </c>
      <c r="I69" s="9" t="n">
        <f aca="false">H69-$C69</f>
        <v>24432.4</v>
      </c>
      <c r="J69" s="9" t="n">
        <f aca="false">J68+I69</f>
        <v>1180665.08</v>
      </c>
      <c r="K69" s="37" t="str">
        <f aca="false">IF(AND(J68&lt;0,J69&gt;=0,A69&lt;=MAX(120,Premissas!$B$15*12)),(A69-1)+(-J68)/I69,"")</f>
        <v/>
      </c>
      <c r="L69" s="9" t="n">
        <f aca="false">Resultados!$E$39*$B69-Resultados!$F$39*$B69-Premissas!$B$24-Resultados!$E$39*$B69*(Premissas!$B$14/100)</f>
        <v>29837.8</v>
      </c>
      <c r="M69" s="9" t="n">
        <f aca="false">L69-$C69</f>
        <v>29837.8</v>
      </c>
      <c r="N69" s="9" t="n">
        <f aca="false">N68+M69</f>
        <v>1514178.26</v>
      </c>
      <c r="O69" s="37" t="str">
        <f aca="false">IF(AND(N68&lt;0,N69&gt;=0,A69&lt;=MAX(120,Premissas!$B$15*12)),(A69-1)+(-N68)/M69,"")</f>
        <v/>
      </c>
      <c r="P69" s="9" t="n">
        <f aca="false">Resultados!$B$19*$B69-Resultados!$B$20*$B69-Premissas!$B$24-Resultados!$B$19*$B69*(Premissas!$B$14/100)</f>
        <v>24432.4</v>
      </c>
      <c r="Q69" s="9" t="n">
        <f aca="false">P69-$C69</f>
        <v>24432.4</v>
      </c>
      <c r="R69" s="9" t="n">
        <f aca="false">R68+Q69</f>
        <v>1180665.08</v>
      </c>
      <c r="S69" s="37" t="str">
        <f aca="false">IF(AND(R68&lt;0,R69&gt;=0,A69&lt;=MAX(120,Premissas!$B$15*12)),(A69-1)+(-R68)/Q69,"")</f>
        <v/>
      </c>
    </row>
    <row r="70" customFormat="false" ht="15" hidden="false" customHeight="false" outlineLevel="0" collapsed="false">
      <c r="A70" s="10" t="n">
        <f aca="false">A69+1</f>
        <v>66</v>
      </c>
      <c r="B70" s="36" t="n">
        <f aca="false">IF(Premissas!$B$9&lt;=1,1,MIN(1,Premissas!$B$8/100+(1-Premissas!$B$8/100)*(A70-1)/(Premissas!$B$9-1)))</f>
        <v>1</v>
      </c>
      <c r="C70" s="9" t="n">
        <f aca="false">IF(A70&lt;=Resultados!$B$9,Resultados!$B$10,0)</f>
        <v>0</v>
      </c>
      <c r="D70" s="9" t="n">
        <f aca="false">Resultados!$E$37*$B70-Resultados!$F$37*$B70-Premissas!$B$24-Resultados!$E$37*$B70*(Premissas!$B$14/100)</f>
        <v>19027</v>
      </c>
      <c r="E70" s="9" t="n">
        <f aca="false">D70-$C70</f>
        <v>19027</v>
      </c>
      <c r="F70" s="9" t="n">
        <f aca="false">F69+E70</f>
        <v>866178.9</v>
      </c>
      <c r="G70" s="37" t="str">
        <f aca="false">IF(AND(F69&lt;0,F70&gt;=0,A70&lt;=MAX(120,Premissas!$B$15*12)),(A70-1)+(-F69)/E70,"")</f>
        <v/>
      </c>
      <c r="H70" s="9" t="n">
        <f aca="false">Resultados!$E$38*$B70-Resultados!$F$38*$B70-Premissas!$B$24-Resultados!$E$38*$B70*(Premissas!$B$14/100)</f>
        <v>24432.4</v>
      </c>
      <c r="I70" s="9" t="n">
        <f aca="false">H70-$C70</f>
        <v>24432.4</v>
      </c>
      <c r="J70" s="9" t="n">
        <f aca="false">J69+I70</f>
        <v>1205097.48</v>
      </c>
      <c r="K70" s="37" t="str">
        <f aca="false">IF(AND(J69&lt;0,J70&gt;=0,A70&lt;=MAX(120,Premissas!$B$15*12)),(A70-1)+(-J69)/I70,"")</f>
        <v/>
      </c>
      <c r="L70" s="9" t="n">
        <f aca="false">Resultados!$E$39*$B70-Resultados!$F$39*$B70-Premissas!$B$24-Resultados!$E$39*$B70*(Premissas!$B$14/100)</f>
        <v>29837.8</v>
      </c>
      <c r="M70" s="9" t="n">
        <f aca="false">L70-$C70</f>
        <v>29837.8</v>
      </c>
      <c r="N70" s="9" t="n">
        <f aca="false">N69+M70</f>
        <v>1544016.06</v>
      </c>
      <c r="O70" s="37" t="str">
        <f aca="false">IF(AND(N69&lt;0,N70&gt;=0,A70&lt;=MAX(120,Premissas!$B$15*12)),(A70-1)+(-N69)/M70,"")</f>
        <v/>
      </c>
      <c r="P70" s="9" t="n">
        <f aca="false">Resultados!$B$19*$B70-Resultados!$B$20*$B70-Premissas!$B$24-Resultados!$B$19*$B70*(Premissas!$B$14/100)</f>
        <v>24432.4</v>
      </c>
      <c r="Q70" s="9" t="n">
        <f aca="false">P70-$C70</f>
        <v>24432.4</v>
      </c>
      <c r="R70" s="9" t="n">
        <f aca="false">R69+Q70</f>
        <v>1205097.48</v>
      </c>
      <c r="S70" s="37" t="str">
        <f aca="false">IF(AND(R69&lt;0,R70&gt;=0,A70&lt;=MAX(120,Premissas!$B$15*12)),(A70-1)+(-R69)/Q70,"")</f>
        <v/>
      </c>
    </row>
    <row r="71" customFormat="false" ht="15" hidden="false" customHeight="false" outlineLevel="0" collapsed="false">
      <c r="A71" s="10" t="n">
        <f aca="false">A70+1</f>
        <v>67</v>
      </c>
      <c r="B71" s="36" t="n">
        <f aca="false">IF(Premissas!$B$9&lt;=1,1,MIN(1,Premissas!$B$8/100+(1-Premissas!$B$8/100)*(A71-1)/(Premissas!$B$9-1)))</f>
        <v>1</v>
      </c>
      <c r="C71" s="9" t="n">
        <f aca="false">IF(A71&lt;=Resultados!$B$9,Resultados!$B$10,0)</f>
        <v>0</v>
      </c>
      <c r="D71" s="9" t="n">
        <f aca="false">Resultados!$E$37*$B71-Resultados!$F$37*$B71-Premissas!$B$24-Resultados!$E$37*$B71*(Premissas!$B$14/100)</f>
        <v>19027</v>
      </c>
      <c r="E71" s="9" t="n">
        <f aca="false">D71-$C71</f>
        <v>19027</v>
      </c>
      <c r="F71" s="9" t="n">
        <f aca="false">F70+E71</f>
        <v>885205.9</v>
      </c>
      <c r="G71" s="37" t="str">
        <f aca="false">IF(AND(F70&lt;0,F71&gt;=0,A71&lt;=MAX(120,Premissas!$B$15*12)),(A71-1)+(-F70)/E71,"")</f>
        <v/>
      </c>
      <c r="H71" s="9" t="n">
        <f aca="false">Resultados!$E$38*$B71-Resultados!$F$38*$B71-Premissas!$B$24-Resultados!$E$38*$B71*(Premissas!$B$14/100)</f>
        <v>24432.4</v>
      </c>
      <c r="I71" s="9" t="n">
        <f aca="false">H71-$C71</f>
        <v>24432.4</v>
      </c>
      <c r="J71" s="9" t="n">
        <f aca="false">J70+I71</f>
        <v>1229529.88</v>
      </c>
      <c r="K71" s="37" t="str">
        <f aca="false">IF(AND(J70&lt;0,J71&gt;=0,A71&lt;=MAX(120,Premissas!$B$15*12)),(A71-1)+(-J70)/I71,"")</f>
        <v/>
      </c>
      <c r="L71" s="9" t="n">
        <f aca="false">Resultados!$E$39*$B71-Resultados!$F$39*$B71-Premissas!$B$24-Resultados!$E$39*$B71*(Premissas!$B$14/100)</f>
        <v>29837.8</v>
      </c>
      <c r="M71" s="9" t="n">
        <f aca="false">L71-$C71</f>
        <v>29837.8</v>
      </c>
      <c r="N71" s="9" t="n">
        <f aca="false">N70+M71</f>
        <v>1573853.86</v>
      </c>
      <c r="O71" s="37" t="str">
        <f aca="false">IF(AND(N70&lt;0,N71&gt;=0,A71&lt;=MAX(120,Premissas!$B$15*12)),(A71-1)+(-N70)/M71,"")</f>
        <v/>
      </c>
      <c r="P71" s="9" t="n">
        <f aca="false">Resultados!$B$19*$B71-Resultados!$B$20*$B71-Premissas!$B$24-Resultados!$B$19*$B71*(Premissas!$B$14/100)</f>
        <v>24432.4</v>
      </c>
      <c r="Q71" s="9" t="n">
        <f aca="false">P71-$C71</f>
        <v>24432.4</v>
      </c>
      <c r="R71" s="9" t="n">
        <f aca="false">R70+Q71</f>
        <v>1229529.88</v>
      </c>
      <c r="S71" s="37" t="str">
        <f aca="false">IF(AND(R70&lt;0,R71&gt;=0,A71&lt;=MAX(120,Premissas!$B$15*12)),(A71-1)+(-R70)/Q71,"")</f>
        <v/>
      </c>
    </row>
    <row r="72" customFormat="false" ht="15" hidden="false" customHeight="false" outlineLevel="0" collapsed="false">
      <c r="A72" s="10" t="n">
        <f aca="false">A71+1</f>
        <v>68</v>
      </c>
      <c r="B72" s="36" t="n">
        <f aca="false">IF(Premissas!$B$9&lt;=1,1,MIN(1,Premissas!$B$8/100+(1-Premissas!$B$8/100)*(A72-1)/(Premissas!$B$9-1)))</f>
        <v>1</v>
      </c>
      <c r="C72" s="9" t="n">
        <f aca="false">IF(A72&lt;=Resultados!$B$9,Resultados!$B$10,0)</f>
        <v>0</v>
      </c>
      <c r="D72" s="9" t="n">
        <f aca="false">Resultados!$E$37*$B72-Resultados!$F$37*$B72-Premissas!$B$24-Resultados!$E$37*$B72*(Premissas!$B$14/100)</f>
        <v>19027</v>
      </c>
      <c r="E72" s="9" t="n">
        <f aca="false">D72-$C72</f>
        <v>19027</v>
      </c>
      <c r="F72" s="9" t="n">
        <f aca="false">F71+E72</f>
        <v>904232.9</v>
      </c>
      <c r="G72" s="37" t="str">
        <f aca="false">IF(AND(F71&lt;0,F72&gt;=0,A72&lt;=MAX(120,Premissas!$B$15*12)),(A72-1)+(-F71)/E72,"")</f>
        <v/>
      </c>
      <c r="H72" s="9" t="n">
        <f aca="false">Resultados!$E$38*$B72-Resultados!$F$38*$B72-Premissas!$B$24-Resultados!$E$38*$B72*(Premissas!$B$14/100)</f>
        <v>24432.4</v>
      </c>
      <c r="I72" s="9" t="n">
        <f aca="false">H72-$C72</f>
        <v>24432.4</v>
      </c>
      <c r="J72" s="9" t="n">
        <f aca="false">J71+I72</f>
        <v>1253962.28</v>
      </c>
      <c r="K72" s="37" t="str">
        <f aca="false">IF(AND(J71&lt;0,J72&gt;=0,A72&lt;=MAX(120,Premissas!$B$15*12)),(A72-1)+(-J71)/I72,"")</f>
        <v/>
      </c>
      <c r="L72" s="9" t="n">
        <f aca="false">Resultados!$E$39*$B72-Resultados!$F$39*$B72-Premissas!$B$24-Resultados!$E$39*$B72*(Premissas!$B$14/100)</f>
        <v>29837.8</v>
      </c>
      <c r="M72" s="9" t="n">
        <f aca="false">L72-$C72</f>
        <v>29837.8</v>
      </c>
      <c r="N72" s="9" t="n">
        <f aca="false">N71+M72</f>
        <v>1603691.66</v>
      </c>
      <c r="O72" s="37" t="str">
        <f aca="false">IF(AND(N71&lt;0,N72&gt;=0,A72&lt;=MAX(120,Premissas!$B$15*12)),(A72-1)+(-N71)/M72,"")</f>
        <v/>
      </c>
      <c r="P72" s="9" t="n">
        <f aca="false">Resultados!$B$19*$B72-Resultados!$B$20*$B72-Premissas!$B$24-Resultados!$B$19*$B72*(Premissas!$B$14/100)</f>
        <v>24432.4</v>
      </c>
      <c r="Q72" s="9" t="n">
        <f aca="false">P72-$C72</f>
        <v>24432.4</v>
      </c>
      <c r="R72" s="9" t="n">
        <f aca="false">R71+Q72</f>
        <v>1253962.28</v>
      </c>
      <c r="S72" s="37" t="str">
        <f aca="false">IF(AND(R71&lt;0,R72&gt;=0,A72&lt;=MAX(120,Premissas!$B$15*12)),(A72-1)+(-R71)/Q72,"")</f>
        <v/>
      </c>
    </row>
    <row r="73" customFormat="false" ht="15" hidden="false" customHeight="false" outlineLevel="0" collapsed="false">
      <c r="A73" s="10" t="n">
        <f aca="false">A72+1</f>
        <v>69</v>
      </c>
      <c r="B73" s="36" t="n">
        <f aca="false">IF(Premissas!$B$9&lt;=1,1,MIN(1,Premissas!$B$8/100+(1-Premissas!$B$8/100)*(A73-1)/(Premissas!$B$9-1)))</f>
        <v>1</v>
      </c>
      <c r="C73" s="9" t="n">
        <f aca="false">IF(A73&lt;=Resultados!$B$9,Resultados!$B$10,0)</f>
        <v>0</v>
      </c>
      <c r="D73" s="9" t="n">
        <f aca="false">Resultados!$E$37*$B73-Resultados!$F$37*$B73-Premissas!$B$24-Resultados!$E$37*$B73*(Premissas!$B$14/100)</f>
        <v>19027</v>
      </c>
      <c r="E73" s="9" t="n">
        <f aca="false">D73-$C73</f>
        <v>19027</v>
      </c>
      <c r="F73" s="9" t="n">
        <f aca="false">F72+E73</f>
        <v>923259.9</v>
      </c>
      <c r="G73" s="37" t="str">
        <f aca="false">IF(AND(F72&lt;0,F73&gt;=0,A73&lt;=MAX(120,Premissas!$B$15*12)),(A73-1)+(-F72)/E73,"")</f>
        <v/>
      </c>
      <c r="H73" s="9" t="n">
        <f aca="false">Resultados!$E$38*$B73-Resultados!$F$38*$B73-Premissas!$B$24-Resultados!$E$38*$B73*(Premissas!$B$14/100)</f>
        <v>24432.4</v>
      </c>
      <c r="I73" s="9" t="n">
        <f aca="false">H73-$C73</f>
        <v>24432.4</v>
      </c>
      <c r="J73" s="9" t="n">
        <f aca="false">J72+I73</f>
        <v>1278394.68</v>
      </c>
      <c r="K73" s="37" t="str">
        <f aca="false">IF(AND(J72&lt;0,J73&gt;=0,A73&lt;=MAX(120,Premissas!$B$15*12)),(A73-1)+(-J72)/I73,"")</f>
        <v/>
      </c>
      <c r="L73" s="9" t="n">
        <f aca="false">Resultados!$E$39*$B73-Resultados!$F$39*$B73-Premissas!$B$24-Resultados!$E$39*$B73*(Premissas!$B$14/100)</f>
        <v>29837.8</v>
      </c>
      <c r="M73" s="9" t="n">
        <f aca="false">L73-$C73</f>
        <v>29837.8</v>
      </c>
      <c r="N73" s="9" t="n">
        <f aca="false">N72+M73</f>
        <v>1633529.46</v>
      </c>
      <c r="O73" s="37" t="str">
        <f aca="false">IF(AND(N72&lt;0,N73&gt;=0,A73&lt;=MAX(120,Premissas!$B$15*12)),(A73-1)+(-N72)/M73,"")</f>
        <v/>
      </c>
      <c r="P73" s="9" t="n">
        <f aca="false">Resultados!$B$19*$B73-Resultados!$B$20*$B73-Premissas!$B$24-Resultados!$B$19*$B73*(Premissas!$B$14/100)</f>
        <v>24432.4</v>
      </c>
      <c r="Q73" s="9" t="n">
        <f aca="false">P73-$C73</f>
        <v>24432.4</v>
      </c>
      <c r="R73" s="9" t="n">
        <f aca="false">R72+Q73</f>
        <v>1278394.68</v>
      </c>
      <c r="S73" s="37" t="str">
        <f aca="false">IF(AND(R72&lt;0,R73&gt;=0,A73&lt;=MAX(120,Premissas!$B$15*12)),(A73-1)+(-R72)/Q73,"")</f>
        <v/>
      </c>
    </row>
    <row r="74" customFormat="false" ht="15" hidden="false" customHeight="false" outlineLevel="0" collapsed="false">
      <c r="A74" s="10" t="n">
        <f aca="false">A73+1</f>
        <v>70</v>
      </c>
      <c r="B74" s="36" t="n">
        <f aca="false">IF(Premissas!$B$9&lt;=1,1,MIN(1,Premissas!$B$8/100+(1-Premissas!$B$8/100)*(A74-1)/(Premissas!$B$9-1)))</f>
        <v>1</v>
      </c>
      <c r="C74" s="9" t="n">
        <f aca="false">IF(A74&lt;=Resultados!$B$9,Resultados!$B$10,0)</f>
        <v>0</v>
      </c>
      <c r="D74" s="9" t="n">
        <f aca="false">Resultados!$E$37*$B74-Resultados!$F$37*$B74-Premissas!$B$24-Resultados!$E$37*$B74*(Premissas!$B$14/100)</f>
        <v>19027</v>
      </c>
      <c r="E74" s="9" t="n">
        <f aca="false">D74-$C74</f>
        <v>19027</v>
      </c>
      <c r="F74" s="9" t="n">
        <f aca="false">F73+E74</f>
        <v>942286.9</v>
      </c>
      <c r="G74" s="37" t="str">
        <f aca="false">IF(AND(F73&lt;0,F74&gt;=0,A74&lt;=MAX(120,Premissas!$B$15*12)),(A74-1)+(-F73)/E74,"")</f>
        <v/>
      </c>
      <c r="H74" s="9" t="n">
        <f aca="false">Resultados!$E$38*$B74-Resultados!$F$38*$B74-Premissas!$B$24-Resultados!$E$38*$B74*(Premissas!$B$14/100)</f>
        <v>24432.4</v>
      </c>
      <c r="I74" s="9" t="n">
        <f aca="false">H74-$C74</f>
        <v>24432.4</v>
      </c>
      <c r="J74" s="9" t="n">
        <f aca="false">J73+I74</f>
        <v>1302827.08</v>
      </c>
      <c r="K74" s="37" t="str">
        <f aca="false">IF(AND(J73&lt;0,J74&gt;=0,A74&lt;=MAX(120,Premissas!$B$15*12)),(A74-1)+(-J73)/I74,"")</f>
        <v/>
      </c>
      <c r="L74" s="9" t="n">
        <f aca="false">Resultados!$E$39*$B74-Resultados!$F$39*$B74-Premissas!$B$24-Resultados!$E$39*$B74*(Premissas!$B$14/100)</f>
        <v>29837.8</v>
      </c>
      <c r="M74" s="9" t="n">
        <f aca="false">L74-$C74</f>
        <v>29837.8</v>
      </c>
      <c r="N74" s="9" t="n">
        <f aca="false">N73+M74</f>
        <v>1663367.26</v>
      </c>
      <c r="O74" s="37" t="str">
        <f aca="false">IF(AND(N73&lt;0,N74&gt;=0,A74&lt;=MAX(120,Premissas!$B$15*12)),(A74-1)+(-N73)/M74,"")</f>
        <v/>
      </c>
      <c r="P74" s="9" t="n">
        <f aca="false">Resultados!$B$19*$B74-Resultados!$B$20*$B74-Premissas!$B$24-Resultados!$B$19*$B74*(Premissas!$B$14/100)</f>
        <v>24432.4</v>
      </c>
      <c r="Q74" s="9" t="n">
        <f aca="false">P74-$C74</f>
        <v>24432.4</v>
      </c>
      <c r="R74" s="9" t="n">
        <f aca="false">R73+Q74</f>
        <v>1302827.08</v>
      </c>
      <c r="S74" s="37" t="str">
        <f aca="false">IF(AND(R73&lt;0,R74&gt;=0,A74&lt;=MAX(120,Premissas!$B$15*12)),(A74-1)+(-R73)/Q74,"")</f>
        <v/>
      </c>
    </row>
    <row r="75" customFormat="false" ht="15" hidden="false" customHeight="false" outlineLevel="0" collapsed="false">
      <c r="A75" s="10" t="n">
        <f aca="false">A74+1</f>
        <v>71</v>
      </c>
      <c r="B75" s="36" t="n">
        <f aca="false">IF(Premissas!$B$9&lt;=1,1,MIN(1,Premissas!$B$8/100+(1-Premissas!$B$8/100)*(A75-1)/(Premissas!$B$9-1)))</f>
        <v>1</v>
      </c>
      <c r="C75" s="9" t="n">
        <f aca="false">IF(A75&lt;=Resultados!$B$9,Resultados!$B$10,0)</f>
        <v>0</v>
      </c>
      <c r="D75" s="9" t="n">
        <f aca="false">Resultados!$E$37*$B75-Resultados!$F$37*$B75-Premissas!$B$24-Resultados!$E$37*$B75*(Premissas!$B$14/100)</f>
        <v>19027</v>
      </c>
      <c r="E75" s="9" t="n">
        <f aca="false">D75-$C75</f>
        <v>19027</v>
      </c>
      <c r="F75" s="9" t="n">
        <f aca="false">F74+E75</f>
        <v>961313.9</v>
      </c>
      <c r="G75" s="37" t="str">
        <f aca="false">IF(AND(F74&lt;0,F75&gt;=0,A75&lt;=MAX(120,Premissas!$B$15*12)),(A75-1)+(-F74)/E75,"")</f>
        <v/>
      </c>
      <c r="H75" s="9" t="n">
        <f aca="false">Resultados!$E$38*$B75-Resultados!$F$38*$B75-Premissas!$B$24-Resultados!$E$38*$B75*(Premissas!$B$14/100)</f>
        <v>24432.4</v>
      </c>
      <c r="I75" s="9" t="n">
        <f aca="false">H75-$C75</f>
        <v>24432.4</v>
      </c>
      <c r="J75" s="9" t="n">
        <f aca="false">J74+I75</f>
        <v>1327259.48</v>
      </c>
      <c r="K75" s="37" t="str">
        <f aca="false">IF(AND(J74&lt;0,J75&gt;=0,A75&lt;=MAX(120,Premissas!$B$15*12)),(A75-1)+(-J74)/I75,"")</f>
        <v/>
      </c>
      <c r="L75" s="9" t="n">
        <f aca="false">Resultados!$E$39*$B75-Resultados!$F$39*$B75-Premissas!$B$24-Resultados!$E$39*$B75*(Premissas!$B$14/100)</f>
        <v>29837.8</v>
      </c>
      <c r="M75" s="9" t="n">
        <f aca="false">L75-$C75</f>
        <v>29837.8</v>
      </c>
      <c r="N75" s="9" t="n">
        <f aca="false">N74+M75</f>
        <v>1693205.06</v>
      </c>
      <c r="O75" s="37" t="str">
        <f aca="false">IF(AND(N74&lt;0,N75&gt;=0,A75&lt;=MAX(120,Premissas!$B$15*12)),(A75-1)+(-N74)/M75,"")</f>
        <v/>
      </c>
      <c r="P75" s="9" t="n">
        <f aca="false">Resultados!$B$19*$B75-Resultados!$B$20*$B75-Premissas!$B$24-Resultados!$B$19*$B75*(Premissas!$B$14/100)</f>
        <v>24432.4</v>
      </c>
      <c r="Q75" s="9" t="n">
        <f aca="false">P75-$C75</f>
        <v>24432.4</v>
      </c>
      <c r="R75" s="9" t="n">
        <f aca="false">R74+Q75</f>
        <v>1327259.48</v>
      </c>
      <c r="S75" s="37" t="str">
        <f aca="false">IF(AND(R74&lt;0,R75&gt;=0,A75&lt;=MAX(120,Premissas!$B$15*12)),(A75-1)+(-R74)/Q75,"")</f>
        <v/>
      </c>
    </row>
    <row r="76" customFormat="false" ht="15" hidden="false" customHeight="false" outlineLevel="0" collapsed="false">
      <c r="A76" s="10" t="n">
        <f aca="false">A75+1</f>
        <v>72</v>
      </c>
      <c r="B76" s="36" t="n">
        <f aca="false">IF(Premissas!$B$9&lt;=1,1,MIN(1,Premissas!$B$8/100+(1-Premissas!$B$8/100)*(A76-1)/(Premissas!$B$9-1)))</f>
        <v>1</v>
      </c>
      <c r="C76" s="9" t="n">
        <f aca="false">IF(A76&lt;=Resultados!$B$9,Resultados!$B$10,0)</f>
        <v>0</v>
      </c>
      <c r="D76" s="9" t="n">
        <f aca="false">Resultados!$E$37*$B76-Resultados!$F$37*$B76-Premissas!$B$24-Resultados!$E$37*$B76*(Premissas!$B$14/100)</f>
        <v>19027</v>
      </c>
      <c r="E76" s="9" t="n">
        <f aca="false">D76-$C76</f>
        <v>19027</v>
      </c>
      <c r="F76" s="9" t="n">
        <f aca="false">F75+E76</f>
        <v>980340.9</v>
      </c>
      <c r="G76" s="37" t="str">
        <f aca="false">IF(AND(F75&lt;0,F76&gt;=0,A76&lt;=MAX(120,Premissas!$B$15*12)),(A76-1)+(-F75)/E76,"")</f>
        <v/>
      </c>
      <c r="H76" s="9" t="n">
        <f aca="false">Resultados!$E$38*$B76-Resultados!$F$38*$B76-Premissas!$B$24-Resultados!$E$38*$B76*(Premissas!$B$14/100)</f>
        <v>24432.4</v>
      </c>
      <c r="I76" s="9" t="n">
        <f aca="false">H76-$C76</f>
        <v>24432.4</v>
      </c>
      <c r="J76" s="9" t="n">
        <f aca="false">J75+I76</f>
        <v>1351691.88</v>
      </c>
      <c r="K76" s="37" t="str">
        <f aca="false">IF(AND(J75&lt;0,J76&gt;=0,A76&lt;=MAX(120,Premissas!$B$15*12)),(A76-1)+(-J75)/I76,"")</f>
        <v/>
      </c>
      <c r="L76" s="9" t="n">
        <f aca="false">Resultados!$E$39*$B76-Resultados!$F$39*$B76-Premissas!$B$24-Resultados!$E$39*$B76*(Premissas!$B$14/100)</f>
        <v>29837.8</v>
      </c>
      <c r="M76" s="9" t="n">
        <f aca="false">L76-$C76</f>
        <v>29837.8</v>
      </c>
      <c r="N76" s="9" t="n">
        <f aca="false">N75+M76</f>
        <v>1723042.86</v>
      </c>
      <c r="O76" s="37" t="str">
        <f aca="false">IF(AND(N75&lt;0,N76&gt;=0,A76&lt;=MAX(120,Premissas!$B$15*12)),(A76-1)+(-N75)/M76,"")</f>
        <v/>
      </c>
      <c r="P76" s="9" t="n">
        <f aca="false">Resultados!$B$19*$B76-Resultados!$B$20*$B76-Premissas!$B$24-Resultados!$B$19*$B76*(Premissas!$B$14/100)</f>
        <v>24432.4</v>
      </c>
      <c r="Q76" s="9" t="n">
        <f aca="false">P76-$C76</f>
        <v>24432.4</v>
      </c>
      <c r="R76" s="9" t="n">
        <f aca="false">R75+Q76</f>
        <v>1351691.88</v>
      </c>
      <c r="S76" s="37" t="str">
        <f aca="false">IF(AND(R75&lt;0,R76&gt;=0,A76&lt;=MAX(120,Premissas!$B$15*12)),(A76-1)+(-R75)/Q76,"")</f>
        <v/>
      </c>
    </row>
    <row r="77" customFormat="false" ht="15" hidden="false" customHeight="false" outlineLevel="0" collapsed="false">
      <c r="A77" s="10" t="n">
        <f aca="false">A76+1</f>
        <v>73</v>
      </c>
      <c r="B77" s="36" t="n">
        <f aca="false">IF(Premissas!$B$9&lt;=1,1,MIN(1,Premissas!$B$8/100+(1-Premissas!$B$8/100)*(A77-1)/(Premissas!$B$9-1)))</f>
        <v>1</v>
      </c>
      <c r="C77" s="9" t="n">
        <f aca="false">IF(A77&lt;=Resultados!$B$9,Resultados!$B$10,0)</f>
        <v>0</v>
      </c>
      <c r="D77" s="9" t="n">
        <f aca="false">Resultados!$E$37*$B77-Resultados!$F$37*$B77-Premissas!$B$24-Resultados!$E$37*$B77*(Premissas!$B$14/100)</f>
        <v>19027</v>
      </c>
      <c r="E77" s="9" t="n">
        <f aca="false">D77-$C77</f>
        <v>19027</v>
      </c>
      <c r="F77" s="9" t="n">
        <f aca="false">F76+E77</f>
        <v>999367.9</v>
      </c>
      <c r="G77" s="37" t="str">
        <f aca="false">IF(AND(F76&lt;0,F77&gt;=0,A77&lt;=MAX(120,Premissas!$B$15*12)),(A77-1)+(-F76)/E77,"")</f>
        <v/>
      </c>
      <c r="H77" s="9" t="n">
        <f aca="false">Resultados!$E$38*$B77-Resultados!$F$38*$B77-Premissas!$B$24-Resultados!$E$38*$B77*(Premissas!$B$14/100)</f>
        <v>24432.4</v>
      </c>
      <c r="I77" s="9" t="n">
        <f aca="false">H77-$C77</f>
        <v>24432.4</v>
      </c>
      <c r="J77" s="9" t="n">
        <f aca="false">J76+I77</f>
        <v>1376124.28</v>
      </c>
      <c r="K77" s="37" t="str">
        <f aca="false">IF(AND(J76&lt;0,J77&gt;=0,A77&lt;=MAX(120,Premissas!$B$15*12)),(A77-1)+(-J76)/I77,"")</f>
        <v/>
      </c>
      <c r="L77" s="9" t="n">
        <f aca="false">Resultados!$E$39*$B77-Resultados!$F$39*$B77-Premissas!$B$24-Resultados!$E$39*$B77*(Premissas!$B$14/100)</f>
        <v>29837.8</v>
      </c>
      <c r="M77" s="9" t="n">
        <f aca="false">L77-$C77</f>
        <v>29837.8</v>
      </c>
      <c r="N77" s="9" t="n">
        <f aca="false">N76+M77</f>
        <v>1752880.66</v>
      </c>
      <c r="O77" s="37" t="str">
        <f aca="false">IF(AND(N76&lt;0,N77&gt;=0,A77&lt;=MAX(120,Premissas!$B$15*12)),(A77-1)+(-N76)/M77,"")</f>
        <v/>
      </c>
      <c r="P77" s="9" t="n">
        <f aca="false">Resultados!$B$19*$B77-Resultados!$B$20*$B77-Premissas!$B$24-Resultados!$B$19*$B77*(Premissas!$B$14/100)</f>
        <v>24432.4</v>
      </c>
      <c r="Q77" s="9" t="n">
        <f aca="false">P77-$C77</f>
        <v>24432.4</v>
      </c>
      <c r="R77" s="9" t="n">
        <f aca="false">R76+Q77</f>
        <v>1376124.28</v>
      </c>
      <c r="S77" s="37" t="str">
        <f aca="false">IF(AND(R76&lt;0,R77&gt;=0,A77&lt;=MAX(120,Premissas!$B$15*12)),(A77-1)+(-R76)/Q77,"")</f>
        <v/>
      </c>
    </row>
    <row r="78" customFormat="false" ht="15" hidden="false" customHeight="false" outlineLevel="0" collapsed="false">
      <c r="A78" s="10" t="n">
        <f aca="false">A77+1</f>
        <v>74</v>
      </c>
      <c r="B78" s="36" t="n">
        <f aca="false">IF(Premissas!$B$9&lt;=1,1,MIN(1,Premissas!$B$8/100+(1-Premissas!$B$8/100)*(A78-1)/(Premissas!$B$9-1)))</f>
        <v>1</v>
      </c>
      <c r="C78" s="9" t="n">
        <f aca="false">IF(A78&lt;=Resultados!$B$9,Resultados!$B$10,0)</f>
        <v>0</v>
      </c>
      <c r="D78" s="9" t="n">
        <f aca="false">Resultados!$E$37*$B78-Resultados!$F$37*$B78-Premissas!$B$24-Resultados!$E$37*$B78*(Premissas!$B$14/100)</f>
        <v>19027</v>
      </c>
      <c r="E78" s="9" t="n">
        <f aca="false">D78-$C78</f>
        <v>19027</v>
      </c>
      <c r="F78" s="9" t="n">
        <f aca="false">F77+E78</f>
        <v>1018394.9</v>
      </c>
      <c r="G78" s="37" t="str">
        <f aca="false">IF(AND(F77&lt;0,F78&gt;=0,A78&lt;=MAX(120,Premissas!$B$15*12)),(A78-1)+(-F77)/E78,"")</f>
        <v/>
      </c>
      <c r="H78" s="9" t="n">
        <f aca="false">Resultados!$E$38*$B78-Resultados!$F$38*$B78-Premissas!$B$24-Resultados!$E$38*$B78*(Premissas!$B$14/100)</f>
        <v>24432.4</v>
      </c>
      <c r="I78" s="9" t="n">
        <f aca="false">H78-$C78</f>
        <v>24432.4</v>
      </c>
      <c r="J78" s="9" t="n">
        <f aca="false">J77+I78</f>
        <v>1400556.68</v>
      </c>
      <c r="K78" s="37" t="str">
        <f aca="false">IF(AND(J77&lt;0,J78&gt;=0,A78&lt;=MAX(120,Premissas!$B$15*12)),(A78-1)+(-J77)/I78,"")</f>
        <v/>
      </c>
      <c r="L78" s="9" t="n">
        <f aca="false">Resultados!$E$39*$B78-Resultados!$F$39*$B78-Premissas!$B$24-Resultados!$E$39*$B78*(Premissas!$B$14/100)</f>
        <v>29837.8</v>
      </c>
      <c r="M78" s="9" t="n">
        <f aca="false">L78-$C78</f>
        <v>29837.8</v>
      </c>
      <c r="N78" s="9" t="n">
        <f aca="false">N77+M78</f>
        <v>1782718.46</v>
      </c>
      <c r="O78" s="37" t="str">
        <f aca="false">IF(AND(N77&lt;0,N78&gt;=0,A78&lt;=MAX(120,Premissas!$B$15*12)),(A78-1)+(-N77)/M78,"")</f>
        <v/>
      </c>
      <c r="P78" s="9" t="n">
        <f aca="false">Resultados!$B$19*$B78-Resultados!$B$20*$B78-Premissas!$B$24-Resultados!$B$19*$B78*(Premissas!$B$14/100)</f>
        <v>24432.4</v>
      </c>
      <c r="Q78" s="9" t="n">
        <f aca="false">P78-$C78</f>
        <v>24432.4</v>
      </c>
      <c r="R78" s="9" t="n">
        <f aca="false">R77+Q78</f>
        <v>1400556.68</v>
      </c>
      <c r="S78" s="37" t="str">
        <f aca="false">IF(AND(R77&lt;0,R78&gt;=0,A78&lt;=MAX(120,Premissas!$B$15*12)),(A78-1)+(-R77)/Q78,"")</f>
        <v/>
      </c>
    </row>
    <row r="79" customFormat="false" ht="15" hidden="false" customHeight="false" outlineLevel="0" collapsed="false">
      <c r="A79" s="10" t="n">
        <f aca="false">A78+1</f>
        <v>75</v>
      </c>
      <c r="B79" s="36" t="n">
        <f aca="false">IF(Premissas!$B$9&lt;=1,1,MIN(1,Premissas!$B$8/100+(1-Premissas!$B$8/100)*(A79-1)/(Premissas!$B$9-1)))</f>
        <v>1</v>
      </c>
      <c r="C79" s="9" t="n">
        <f aca="false">IF(A79&lt;=Resultados!$B$9,Resultados!$B$10,0)</f>
        <v>0</v>
      </c>
      <c r="D79" s="9" t="n">
        <f aca="false">Resultados!$E$37*$B79-Resultados!$F$37*$B79-Premissas!$B$24-Resultados!$E$37*$B79*(Premissas!$B$14/100)</f>
        <v>19027</v>
      </c>
      <c r="E79" s="9" t="n">
        <f aca="false">D79-$C79</f>
        <v>19027</v>
      </c>
      <c r="F79" s="9" t="n">
        <f aca="false">F78+E79</f>
        <v>1037421.9</v>
      </c>
      <c r="G79" s="37" t="str">
        <f aca="false">IF(AND(F78&lt;0,F79&gt;=0,A79&lt;=MAX(120,Premissas!$B$15*12)),(A79-1)+(-F78)/E79,"")</f>
        <v/>
      </c>
      <c r="H79" s="9" t="n">
        <f aca="false">Resultados!$E$38*$B79-Resultados!$F$38*$B79-Premissas!$B$24-Resultados!$E$38*$B79*(Premissas!$B$14/100)</f>
        <v>24432.4</v>
      </c>
      <c r="I79" s="9" t="n">
        <f aca="false">H79-$C79</f>
        <v>24432.4</v>
      </c>
      <c r="J79" s="9" t="n">
        <f aca="false">J78+I79</f>
        <v>1424989.08</v>
      </c>
      <c r="K79" s="37" t="str">
        <f aca="false">IF(AND(J78&lt;0,J79&gt;=0,A79&lt;=MAX(120,Premissas!$B$15*12)),(A79-1)+(-J78)/I79,"")</f>
        <v/>
      </c>
      <c r="L79" s="9" t="n">
        <f aca="false">Resultados!$E$39*$B79-Resultados!$F$39*$B79-Premissas!$B$24-Resultados!$E$39*$B79*(Premissas!$B$14/100)</f>
        <v>29837.8</v>
      </c>
      <c r="M79" s="9" t="n">
        <f aca="false">L79-$C79</f>
        <v>29837.8</v>
      </c>
      <c r="N79" s="9" t="n">
        <f aca="false">N78+M79</f>
        <v>1812556.26</v>
      </c>
      <c r="O79" s="37" t="str">
        <f aca="false">IF(AND(N78&lt;0,N79&gt;=0,A79&lt;=MAX(120,Premissas!$B$15*12)),(A79-1)+(-N78)/M79,"")</f>
        <v/>
      </c>
      <c r="P79" s="9" t="n">
        <f aca="false">Resultados!$B$19*$B79-Resultados!$B$20*$B79-Premissas!$B$24-Resultados!$B$19*$B79*(Premissas!$B$14/100)</f>
        <v>24432.4</v>
      </c>
      <c r="Q79" s="9" t="n">
        <f aca="false">P79-$C79</f>
        <v>24432.4</v>
      </c>
      <c r="R79" s="9" t="n">
        <f aca="false">R78+Q79</f>
        <v>1424989.08</v>
      </c>
      <c r="S79" s="37" t="str">
        <f aca="false">IF(AND(R78&lt;0,R79&gt;=0,A79&lt;=MAX(120,Premissas!$B$15*12)),(A79-1)+(-R78)/Q79,"")</f>
        <v/>
      </c>
    </row>
    <row r="80" customFormat="false" ht="15" hidden="false" customHeight="false" outlineLevel="0" collapsed="false">
      <c r="A80" s="10" t="n">
        <f aca="false">A79+1</f>
        <v>76</v>
      </c>
      <c r="B80" s="36" t="n">
        <f aca="false">IF(Premissas!$B$9&lt;=1,1,MIN(1,Premissas!$B$8/100+(1-Premissas!$B$8/100)*(A80-1)/(Premissas!$B$9-1)))</f>
        <v>1</v>
      </c>
      <c r="C80" s="9" t="n">
        <f aca="false">IF(A80&lt;=Resultados!$B$9,Resultados!$B$10,0)</f>
        <v>0</v>
      </c>
      <c r="D80" s="9" t="n">
        <f aca="false">Resultados!$E$37*$B80-Resultados!$F$37*$B80-Premissas!$B$24-Resultados!$E$37*$B80*(Premissas!$B$14/100)</f>
        <v>19027</v>
      </c>
      <c r="E80" s="9" t="n">
        <f aca="false">D80-$C80</f>
        <v>19027</v>
      </c>
      <c r="F80" s="9" t="n">
        <f aca="false">F79+E80</f>
        <v>1056448.9</v>
      </c>
      <c r="G80" s="37" t="str">
        <f aca="false">IF(AND(F79&lt;0,F80&gt;=0,A80&lt;=MAX(120,Premissas!$B$15*12)),(A80-1)+(-F79)/E80,"")</f>
        <v/>
      </c>
      <c r="H80" s="9" t="n">
        <f aca="false">Resultados!$E$38*$B80-Resultados!$F$38*$B80-Premissas!$B$24-Resultados!$E$38*$B80*(Premissas!$B$14/100)</f>
        <v>24432.4</v>
      </c>
      <c r="I80" s="9" t="n">
        <f aca="false">H80-$C80</f>
        <v>24432.4</v>
      </c>
      <c r="J80" s="9" t="n">
        <f aca="false">J79+I80</f>
        <v>1449421.48</v>
      </c>
      <c r="K80" s="37" t="str">
        <f aca="false">IF(AND(J79&lt;0,J80&gt;=0,A80&lt;=MAX(120,Premissas!$B$15*12)),(A80-1)+(-J79)/I80,"")</f>
        <v/>
      </c>
      <c r="L80" s="9" t="n">
        <f aca="false">Resultados!$E$39*$B80-Resultados!$F$39*$B80-Premissas!$B$24-Resultados!$E$39*$B80*(Premissas!$B$14/100)</f>
        <v>29837.8</v>
      </c>
      <c r="M80" s="9" t="n">
        <f aca="false">L80-$C80</f>
        <v>29837.8</v>
      </c>
      <c r="N80" s="9" t="n">
        <f aca="false">N79+M80</f>
        <v>1842394.06</v>
      </c>
      <c r="O80" s="37" t="str">
        <f aca="false">IF(AND(N79&lt;0,N80&gt;=0,A80&lt;=MAX(120,Premissas!$B$15*12)),(A80-1)+(-N79)/M80,"")</f>
        <v/>
      </c>
      <c r="P80" s="9" t="n">
        <f aca="false">Resultados!$B$19*$B80-Resultados!$B$20*$B80-Premissas!$B$24-Resultados!$B$19*$B80*(Premissas!$B$14/100)</f>
        <v>24432.4</v>
      </c>
      <c r="Q80" s="9" t="n">
        <f aca="false">P80-$C80</f>
        <v>24432.4</v>
      </c>
      <c r="R80" s="9" t="n">
        <f aca="false">R79+Q80</f>
        <v>1449421.48</v>
      </c>
      <c r="S80" s="37" t="str">
        <f aca="false">IF(AND(R79&lt;0,R80&gt;=0,A80&lt;=MAX(120,Premissas!$B$15*12)),(A80-1)+(-R79)/Q80,"")</f>
        <v/>
      </c>
    </row>
    <row r="81" customFormat="false" ht="15" hidden="false" customHeight="false" outlineLevel="0" collapsed="false">
      <c r="A81" s="10" t="n">
        <f aca="false">A80+1</f>
        <v>77</v>
      </c>
      <c r="B81" s="36" t="n">
        <f aca="false">IF(Premissas!$B$9&lt;=1,1,MIN(1,Premissas!$B$8/100+(1-Premissas!$B$8/100)*(A81-1)/(Premissas!$B$9-1)))</f>
        <v>1</v>
      </c>
      <c r="C81" s="9" t="n">
        <f aca="false">IF(A81&lt;=Resultados!$B$9,Resultados!$B$10,0)</f>
        <v>0</v>
      </c>
      <c r="D81" s="9" t="n">
        <f aca="false">Resultados!$E$37*$B81-Resultados!$F$37*$B81-Premissas!$B$24-Resultados!$E$37*$B81*(Premissas!$B$14/100)</f>
        <v>19027</v>
      </c>
      <c r="E81" s="9" t="n">
        <f aca="false">D81-$C81</f>
        <v>19027</v>
      </c>
      <c r="F81" s="9" t="n">
        <f aca="false">F80+E81</f>
        <v>1075475.9</v>
      </c>
      <c r="G81" s="37" t="str">
        <f aca="false">IF(AND(F80&lt;0,F81&gt;=0,A81&lt;=MAX(120,Premissas!$B$15*12)),(A81-1)+(-F80)/E81,"")</f>
        <v/>
      </c>
      <c r="H81" s="9" t="n">
        <f aca="false">Resultados!$E$38*$B81-Resultados!$F$38*$B81-Premissas!$B$24-Resultados!$E$38*$B81*(Premissas!$B$14/100)</f>
        <v>24432.4</v>
      </c>
      <c r="I81" s="9" t="n">
        <f aca="false">H81-$C81</f>
        <v>24432.4</v>
      </c>
      <c r="J81" s="9" t="n">
        <f aca="false">J80+I81</f>
        <v>1473853.88</v>
      </c>
      <c r="K81" s="37" t="str">
        <f aca="false">IF(AND(J80&lt;0,J81&gt;=0,A81&lt;=MAX(120,Premissas!$B$15*12)),(A81-1)+(-J80)/I81,"")</f>
        <v/>
      </c>
      <c r="L81" s="9" t="n">
        <f aca="false">Resultados!$E$39*$B81-Resultados!$F$39*$B81-Premissas!$B$24-Resultados!$E$39*$B81*(Premissas!$B$14/100)</f>
        <v>29837.8</v>
      </c>
      <c r="M81" s="9" t="n">
        <f aca="false">L81-$C81</f>
        <v>29837.8</v>
      </c>
      <c r="N81" s="9" t="n">
        <f aca="false">N80+M81</f>
        <v>1872231.86</v>
      </c>
      <c r="O81" s="37" t="str">
        <f aca="false">IF(AND(N80&lt;0,N81&gt;=0,A81&lt;=MAX(120,Premissas!$B$15*12)),(A81-1)+(-N80)/M81,"")</f>
        <v/>
      </c>
      <c r="P81" s="9" t="n">
        <f aca="false">Resultados!$B$19*$B81-Resultados!$B$20*$B81-Premissas!$B$24-Resultados!$B$19*$B81*(Premissas!$B$14/100)</f>
        <v>24432.4</v>
      </c>
      <c r="Q81" s="9" t="n">
        <f aca="false">P81-$C81</f>
        <v>24432.4</v>
      </c>
      <c r="R81" s="9" t="n">
        <f aca="false">R80+Q81</f>
        <v>1473853.88</v>
      </c>
      <c r="S81" s="37" t="str">
        <f aca="false">IF(AND(R80&lt;0,R81&gt;=0,A81&lt;=MAX(120,Premissas!$B$15*12)),(A81-1)+(-R80)/Q81,"")</f>
        <v/>
      </c>
    </row>
    <row r="82" customFormat="false" ht="15" hidden="false" customHeight="false" outlineLevel="0" collapsed="false">
      <c r="A82" s="10" t="n">
        <f aca="false">A81+1</f>
        <v>78</v>
      </c>
      <c r="B82" s="36" t="n">
        <f aca="false">IF(Premissas!$B$9&lt;=1,1,MIN(1,Premissas!$B$8/100+(1-Premissas!$B$8/100)*(A82-1)/(Premissas!$B$9-1)))</f>
        <v>1</v>
      </c>
      <c r="C82" s="9" t="n">
        <f aca="false">IF(A82&lt;=Resultados!$B$9,Resultados!$B$10,0)</f>
        <v>0</v>
      </c>
      <c r="D82" s="9" t="n">
        <f aca="false">Resultados!$E$37*$B82-Resultados!$F$37*$B82-Premissas!$B$24-Resultados!$E$37*$B82*(Premissas!$B$14/100)</f>
        <v>19027</v>
      </c>
      <c r="E82" s="9" t="n">
        <f aca="false">D82-$C82</f>
        <v>19027</v>
      </c>
      <c r="F82" s="9" t="n">
        <f aca="false">F81+E82</f>
        <v>1094502.9</v>
      </c>
      <c r="G82" s="37" t="str">
        <f aca="false">IF(AND(F81&lt;0,F82&gt;=0,A82&lt;=MAX(120,Premissas!$B$15*12)),(A82-1)+(-F81)/E82,"")</f>
        <v/>
      </c>
      <c r="H82" s="9" t="n">
        <f aca="false">Resultados!$E$38*$B82-Resultados!$F$38*$B82-Premissas!$B$24-Resultados!$E$38*$B82*(Premissas!$B$14/100)</f>
        <v>24432.4</v>
      </c>
      <c r="I82" s="9" t="n">
        <f aca="false">H82-$C82</f>
        <v>24432.4</v>
      </c>
      <c r="J82" s="9" t="n">
        <f aca="false">J81+I82</f>
        <v>1498286.28</v>
      </c>
      <c r="K82" s="37" t="str">
        <f aca="false">IF(AND(J81&lt;0,J82&gt;=0,A82&lt;=MAX(120,Premissas!$B$15*12)),(A82-1)+(-J81)/I82,"")</f>
        <v/>
      </c>
      <c r="L82" s="9" t="n">
        <f aca="false">Resultados!$E$39*$B82-Resultados!$F$39*$B82-Premissas!$B$24-Resultados!$E$39*$B82*(Premissas!$B$14/100)</f>
        <v>29837.8</v>
      </c>
      <c r="M82" s="9" t="n">
        <f aca="false">L82-$C82</f>
        <v>29837.8</v>
      </c>
      <c r="N82" s="9" t="n">
        <f aca="false">N81+M82</f>
        <v>1902069.66</v>
      </c>
      <c r="O82" s="37" t="str">
        <f aca="false">IF(AND(N81&lt;0,N82&gt;=0,A82&lt;=MAX(120,Premissas!$B$15*12)),(A82-1)+(-N81)/M82,"")</f>
        <v/>
      </c>
      <c r="P82" s="9" t="n">
        <f aca="false">Resultados!$B$19*$B82-Resultados!$B$20*$B82-Premissas!$B$24-Resultados!$B$19*$B82*(Premissas!$B$14/100)</f>
        <v>24432.4</v>
      </c>
      <c r="Q82" s="9" t="n">
        <f aca="false">P82-$C82</f>
        <v>24432.4</v>
      </c>
      <c r="R82" s="9" t="n">
        <f aca="false">R81+Q82</f>
        <v>1498286.28</v>
      </c>
      <c r="S82" s="37" t="str">
        <f aca="false">IF(AND(R81&lt;0,R82&gt;=0,A82&lt;=MAX(120,Premissas!$B$15*12)),(A82-1)+(-R81)/Q82,"")</f>
        <v/>
      </c>
    </row>
    <row r="83" customFormat="false" ht="15" hidden="false" customHeight="false" outlineLevel="0" collapsed="false">
      <c r="A83" s="10" t="n">
        <f aca="false">A82+1</f>
        <v>79</v>
      </c>
      <c r="B83" s="36" t="n">
        <f aca="false">IF(Premissas!$B$9&lt;=1,1,MIN(1,Premissas!$B$8/100+(1-Premissas!$B$8/100)*(A83-1)/(Premissas!$B$9-1)))</f>
        <v>1</v>
      </c>
      <c r="C83" s="9" t="n">
        <f aca="false">IF(A83&lt;=Resultados!$B$9,Resultados!$B$10,0)</f>
        <v>0</v>
      </c>
      <c r="D83" s="9" t="n">
        <f aca="false">Resultados!$E$37*$B83-Resultados!$F$37*$B83-Premissas!$B$24-Resultados!$E$37*$B83*(Premissas!$B$14/100)</f>
        <v>19027</v>
      </c>
      <c r="E83" s="9" t="n">
        <f aca="false">D83-$C83</f>
        <v>19027</v>
      </c>
      <c r="F83" s="9" t="n">
        <f aca="false">F82+E83</f>
        <v>1113529.9</v>
      </c>
      <c r="G83" s="37" t="str">
        <f aca="false">IF(AND(F82&lt;0,F83&gt;=0,A83&lt;=MAX(120,Premissas!$B$15*12)),(A83-1)+(-F82)/E83,"")</f>
        <v/>
      </c>
      <c r="H83" s="9" t="n">
        <f aca="false">Resultados!$E$38*$B83-Resultados!$F$38*$B83-Premissas!$B$24-Resultados!$E$38*$B83*(Premissas!$B$14/100)</f>
        <v>24432.4</v>
      </c>
      <c r="I83" s="9" t="n">
        <f aca="false">H83-$C83</f>
        <v>24432.4</v>
      </c>
      <c r="J83" s="9" t="n">
        <f aca="false">J82+I83</f>
        <v>1522718.68</v>
      </c>
      <c r="K83" s="37" t="str">
        <f aca="false">IF(AND(J82&lt;0,J83&gt;=0,A83&lt;=MAX(120,Premissas!$B$15*12)),(A83-1)+(-J82)/I83,"")</f>
        <v/>
      </c>
      <c r="L83" s="9" t="n">
        <f aca="false">Resultados!$E$39*$B83-Resultados!$F$39*$B83-Premissas!$B$24-Resultados!$E$39*$B83*(Premissas!$B$14/100)</f>
        <v>29837.8</v>
      </c>
      <c r="M83" s="9" t="n">
        <f aca="false">L83-$C83</f>
        <v>29837.8</v>
      </c>
      <c r="N83" s="9" t="n">
        <f aca="false">N82+M83</f>
        <v>1931907.46</v>
      </c>
      <c r="O83" s="37" t="str">
        <f aca="false">IF(AND(N82&lt;0,N83&gt;=0,A83&lt;=MAX(120,Premissas!$B$15*12)),(A83-1)+(-N82)/M83,"")</f>
        <v/>
      </c>
      <c r="P83" s="9" t="n">
        <f aca="false">Resultados!$B$19*$B83-Resultados!$B$20*$B83-Premissas!$B$24-Resultados!$B$19*$B83*(Premissas!$B$14/100)</f>
        <v>24432.4</v>
      </c>
      <c r="Q83" s="9" t="n">
        <f aca="false">P83-$C83</f>
        <v>24432.4</v>
      </c>
      <c r="R83" s="9" t="n">
        <f aca="false">R82+Q83</f>
        <v>1522718.68</v>
      </c>
      <c r="S83" s="37" t="str">
        <f aca="false">IF(AND(R82&lt;0,R83&gt;=0,A83&lt;=MAX(120,Premissas!$B$15*12)),(A83-1)+(-R82)/Q83,"")</f>
        <v/>
      </c>
    </row>
    <row r="84" customFormat="false" ht="15" hidden="false" customHeight="false" outlineLevel="0" collapsed="false">
      <c r="A84" s="10" t="n">
        <f aca="false">A83+1</f>
        <v>80</v>
      </c>
      <c r="B84" s="36" t="n">
        <f aca="false">IF(Premissas!$B$9&lt;=1,1,MIN(1,Premissas!$B$8/100+(1-Premissas!$B$8/100)*(A84-1)/(Premissas!$B$9-1)))</f>
        <v>1</v>
      </c>
      <c r="C84" s="9" t="n">
        <f aca="false">IF(A84&lt;=Resultados!$B$9,Resultados!$B$10,0)</f>
        <v>0</v>
      </c>
      <c r="D84" s="9" t="n">
        <f aca="false">Resultados!$E$37*$B84-Resultados!$F$37*$B84-Premissas!$B$24-Resultados!$E$37*$B84*(Premissas!$B$14/100)</f>
        <v>19027</v>
      </c>
      <c r="E84" s="9" t="n">
        <f aca="false">D84-$C84</f>
        <v>19027</v>
      </c>
      <c r="F84" s="9" t="n">
        <f aca="false">F83+E84</f>
        <v>1132556.9</v>
      </c>
      <c r="G84" s="37" t="str">
        <f aca="false">IF(AND(F83&lt;0,F84&gt;=0,A84&lt;=MAX(120,Premissas!$B$15*12)),(A84-1)+(-F83)/E84,"")</f>
        <v/>
      </c>
      <c r="H84" s="9" t="n">
        <f aca="false">Resultados!$E$38*$B84-Resultados!$F$38*$B84-Premissas!$B$24-Resultados!$E$38*$B84*(Premissas!$B$14/100)</f>
        <v>24432.4</v>
      </c>
      <c r="I84" s="9" t="n">
        <f aca="false">H84-$C84</f>
        <v>24432.4</v>
      </c>
      <c r="J84" s="9" t="n">
        <f aca="false">J83+I84</f>
        <v>1547151.08</v>
      </c>
      <c r="K84" s="37" t="str">
        <f aca="false">IF(AND(J83&lt;0,J84&gt;=0,A84&lt;=MAX(120,Premissas!$B$15*12)),(A84-1)+(-J83)/I84,"")</f>
        <v/>
      </c>
      <c r="L84" s="9" t="n">
        <f aca="false">Resultados!$E$39*$B84-Resultados!$F$39*$B84-Premissas!$B$24-Resultados!$E$39*$B84*(Premissas!$B$14/100)</f>
        <v>29837.8</v>
      </c>
      <c r="M84" s="9" t="n">
        <f aca="false">L84-$C84</f>
        <v>29837.8</v>
      </c>
      <c r="N84" s="9" t="n">
        <f aca="false">N83+M84</f>
        <v>1961745.26</v>
      </c>
      <c r="O84" s="37" t="str">
        <f aca="false">IF(AND(N83&lt;0,N84&gt;=0,A84&lt;=MAX(120,Premissas!$B$15*12)),(A84-1)+(-N83)/M84,"")</f>
        <v/>
      </c>
      <c r="P84" s="9" t="n">
        <f aca="false">Resultados!$B$19*$B84-Resultados!$B$20*$B84-Premissas!$B$24-Resultados!$B$19*$B84*(Premissas!$B$14/100)</f>
        <v>24432.4</v>
      </c>
      <c r="Q84" s="9" t="n">
        <f aca="false">P84-$C84</f>
        <v>24432.4</v>
      </c>
      <c r="R84" s="9" t="n">
        <f aca="false">R83+Q84</f>
        <v>1547151.08</v>
      </c>
      <c r="S84" s="37" t="str">
        <f aca="false">IF(AND(R83&lt;0,R84&gt;=0,A84&lt;=MAX(120,Premissas!$B$15*12)),(A84-1)+(-R83)/Q84,"")</f>
        <v/>
      </c>
    </row>
    <row r="85" customFormat="false" ht="15" hidden="false" customHeight="false" outlineLevel="0" collapsed="false">
      <c r="A85" s="10" t="n">
        <f aca="false">A84+1</f>
        <v>81</v>
      </c>
      <c r="B85" s="36" t="n">
        <f aca="false">IF(Premissas!$B$9&lt;=1,1,MIN(1,Premissas!$B$8/100+(1-Premissas!$B$8/100)*(A85-1)/(Premissas!$B$9-1)))</f>
        <v>1</v>
      </c>
      <c r="C85" s="9" t="n">
        <f aca="false">IF(A85&lt;=Resultados!$B$9,Resultados!$B$10,0)</f>
        <v>0</v>
      </c>
      <c r="D85" s="9" t="n">
        <f aca="false">Resultados!$E$37*$B85-Resultados!$F$37*$B85-Premissas!$B$24-Resultados!$E$37*$B85*(Premissas!$B$14/100)</f>
        <v>19027</v>
      </c>
      <c r="E85" s="9" t="n">
        <f aca="false">D85-$C85</f>
        <v>19027</v>
      </c>
      <c r="F85" s="9" t="n">
        <f aca="false">F84+E85</f>
        <v>1151583.9</v>
      </c>
      <c r="G85" s="37" t="str">
        <f aca="false">IF(AND(F84&lt;0,F85&gt;=0,A85&lt;=MAX(120,Premissas!$B$15*12)),(A85-1)+(-F84)/E85,"")</f>
        <v/>
      </c>
      <c r="H85" s="9" t="n">
        <f aca="false">Resultados!$E$38*$B85-Resultados!$F$38*$B85-Premissas!$B$24-Resultados!$E$38*$B85*(Premissas!$B$14/100)</f>
        <v>24432.4</v>
      </c>
      <c r="I85" s="9" t="n">
        <f aca="false">H85-$C85</f>
        <v>24432.4</v>
      </c>
      <c r="J85" s="9" t="n">
        <f aca="false">J84+I85</f>
        <v>1571583.48</v>
      </c>
      <c r="K85" s="37" t="str">
        <f aca="false">IF(AND(J84&lt;0,J85&gt;=0,A85&lt;=MAX(120,Premissas!$B$15*12)),(A85-1)+(-J84)/I85,"")</f>
        <v/>
      </c>
      <c r="L85" s="9" t="n">
        <f aca="false">Resultados!$E$39*$B85-Resultados!$F$39*$B85-Premissas!$B$24-Resultados!$E$39*$B85*(Premissas!$B$14/100)</f>
        <v>29837.8</v>
      </c>
      <c r="M85" s="9" t="n">
        <f aca="false">L85-$C85</f>
        <v>29837.8</v>
      </c>
      <c r="N85" s="9" t="n">
        <f aca="false">N84+M85</f>
        <v>1991583.06</v>
      </c>
      <c r="O85" s="37" t="str">
        <f aca="false">IF(AND(N84&lt;0,N85&gt;=0,A85&lt;=MAX(120,Premissas!$B$15*12)),(A85-1)+(-N84)/M85,"")</f>
        <v/>
      </c>
      <c r="P85" s="9" t="n">
        <f aca="false">Resultados!$B$19*$B85-Resultados!$B$20*$B85-Premissas!$B$24-Resultados!$B$19*$B85*(Premissas!$B$14/100)</f>
        <v>24432.4</v>
      </c>
      <c r="Q85" s="9" t="n">
        <f aca="false">P85-$C85</f>
        <v>24432.4</v>
      </c>
      <c r="R85" s="9" t="n">
        <f aca="false">R84+Q85</f>
        <v>1571583.48</v>
      </c>
      <c r="S85" s="37" t="str">
        <f aca="false">IF(AND(R84&lt;0,R85&gt;=0,A85&lt;=MAX(120,Premissas!$B$15*12)),(A85-1)+(-R84)/Q85,"")</f>
        <v/>
      </c>
    </row>
    <row r="86" customFormat="false" ht="15" hidden="false" customHeight="false" outlineLevel="0" collapsed="false">
      <c r="A86" s="10" t="n">
        <f aca="false">A85+1</f>
        <v>82</v>
      </c>
      <c r="B86" s="36" t="n">
        <f aca="false">IF(Premissas!$B$9&lt;=1,1,MIN(1,Premissas!$B$8/100+(1-Premissas!$B$8/100)*(A86-1)/(Premissas!$B$9-1)))</f>
        <v>1</v>
      </c>
      <c r="C86" s="9" t="n">
        <f aca="false">IF(A86&lt;=Resultados!$B$9,Resultados!$B$10,0)</f>
        <v>0</v>
      </c>
      <c r="D86" s="9" t="n">
        <f aca="false">Resultados!$E$37*$B86-Resultados!$F$37*$B86-Premissas!$B$24-Resultados!$E$37*$B86*(Premissas!$B$14/100)</f>
        <v>19027</v>
      </c>
      <c r="E86" s="9" t="n">
        <f aca="false">D86-$C86</f>
        <v>19027</v>
      </c>
      <c r="F86" s="9" t="n">
        <f aca="false">F85+E86</f>
        <v>1170610.9</v>
      </c>
      <c r="G86" s="37" t="str">
        <f aca="false">IF(AND(F85&lt;0,F86&gt;=0,A86&lt;=MAX(120,Premissas!$B$15*12)),(A86-1)+(-F85)/E86,"")</f>
        <v/>
      </c>
      <c r="H86" s="9" t="n">
        <f aca="false">Resultados!$E$38*$B86-Resultados!$F$38*$B86-Premissas!$B$24-Resultados!$E$38*$B86*(Premissas!$B$14/100)</f>
        <v>24432.4</v>
      </c>
      <c r="I86" s="9" t="n">
        <f aca="false">H86-$C86</f>
        <v>24432.4</v>
      </c>
      <c r="J86" s="9" t="n">
        <f aca="false">J85+I86</f>
        <v>1596015.88</v>
      </c>
      <c r="K86" s="37" t="str">
        <f aca="false">IF(AND(J85&lt;0,J86&gt;=0,A86&lt;=MAX(120,Premissas!$B$15*12)),(A86-1)+(-J85)/I86,"")</f>
        <v/>
      </c>
      <c r="L86" s="9" t="n">
        <f aca="false">Resultados!$E$39*$B86-Resultados!$F$39*$B86-Premissas!$B$24-Resultados!$E$39*$B86*(Premissas!$B$14/100)</f>
        <v>29837.8</v>
      </c>
      <c r="M86" s="9" t="n">
        <f aca="false">L86-$C86</f>
        <v>29837.8</v>
      </c>
      <c r="N86" s="9" t="n">
        <f aca="false">N85+M86</f>
        <v>2021420.86</v>
      </c>
      <c r="O86" s="37" t="str">
        <f aca="false">IF(AND(N85&lt;0,N86&gt;=0,A86&lt;=MAX(120,Premissas!$B$15*12)),(A86-1)+(-N85)/M86,"")</f>
        <v/>
      </c>
      <c r="P86" s="9" t="n">
        <f aca="false">Resultados!$B$19*$B86-Resultados!$B$20*$B86-Premissas!$B$24-Resultados!$B$19*$B86*(Premissas!$B$14/100)</f>
        <v>24432.4</v>
      </c>
      <c r="Q86" s="9" t="n">
        <f aca="false">P86-$C86</f>
        <v>24432.4</v>
      </c>
      <c r="R86" s="9" t="n">
        <f aca="false">R85+Q86</f>
        <v>1596015.88</v>
      </c>
      <c r="S86" s="37" t="str">
        <f aca="false">IF(AND(R85&lt;0,R86&gt;=0,A86&lt;=MAX(120,Premissas!$B$15*12)),(A86-1)+(-R85)/Q86,"")</f>
        <v/>
      </c>
    </row>
    <row r="87" customFormat="false" ht="15" hidden="false" customHeight="false" outlineLevel="0" collapsed="false">
      <c r="A87" s="10" t="n">
        <f aca="false">A86+1</f>
        <v>83</v>
      </c>
      <c r="B87" s="36" t="n">
        <f aca="false">IF(Premissas!$B$9&lt;=1,1,MIN(1,Premissas!$B$8/100+(1-Premissas!$B$8/100)*(A87-1)/(Premissas!$B$9-1)))</f>
        <v>1</v>
      </c>
      <c r="C87" s="9" t="n">
        <f aca="false">IF(A87&lt;=Resultados!$B$9,Resultados!$B$10,0)</f>
        <v>0</v>
      </c>
      <c r="D87" s="9" t="n">
        <f aca="false">Resultados!$E$37*$B87-Resultados!$F$37*$B87-Premissas!$B$24-Resultados!$E$37*$B87*(Premissas!$B$14/100)</f>
        <v>19027</v>
      </c>
      <c r="E87" s="9" t="n">
        <f aca="false">D87-$C87</f>
        <v>19027</v>
      </c>
      <c r="F87" s="9" t="n">
        <f aca="false">F86+E87</f>
        <v>1189637.9</v>
      </c>
      <c r="G87" s="37" t="str">
        <f aca="false">IF(AND(F86&lt;0,F87&gt;=0,A87&lt;=MAX(120,Premissas!$B$15*12)),(A87-1)+(-F86)/E87,"")</f>
        <v/>
      </c>
      <c r="H87" s="9" t="n">
        <f aca="false">Resultados!$E$38*$B87-Resultados!$F$38*$B87-Premissas!$B$24-Resultados!$E$38*$B87*(Premissas!$B$14/100)</f>
        <v>24432.4</v>
      </c>
      <c r="I87" s="9" t="n">
        <f aca="false">H87-$C87</f>
        <v>24432.4</v>
      </c>
      <c r="J87" s="9" t="n">
        <f aca="false">J86+I87</f>
        <v>1620448.28</v>
      </c>
      <c r="K87" s="37" t="str">
        <f aca="false">IF(AND(J86&lt;0,J87&gt;=0,A87&lt;=MAX(120,Premissas!$B$15*12)),(A87-1)+(-J86)/I87,"")</f>
        <v/>
      </c>
      <c r="L87" s="9" t="n">
        <f aca="false">Resultados!$E$39*$B87-Resultados!$F$39*$B87-Premissas!$B$24-Resultados!$E$39*$B87*(Premissas!$B$14/100)</f>
        <v>29837.8</v>
      </c>
      <c r="M87" s="9" t="n">
        <f aca="false">L87-$C87</f>
        <v>29837.8</v>
      </c>
      <c r="N87" s="9" t="n">
        <f aca="false">N86+M87</f>
        <v>2051258.66</v>
      </c>
      <c r="O87" s="37" t="str">
        <f aca="false">IF(AND(N86&lt;0,N87&gt;=0,A87&lt;=MAX(120,Premissas!$B$15*12)),(A87-1)+(-N86)/M87,"")</f>
        <v/>
      </c>
      <c r="P87" s="9" t="n">
        <f aca="false">Resultados!$B$19*$B87-Resultados!$B$20*$B87-Premissas!$B$24-Resultados!$B$19*$B87*(Premissas!$B$14/100)</f>
        <v>24432.4</v>
      </c>
      <c r="Q87" s="9" t="n">
        <f aca="false">P87-$C87</f>
        <v>24432.4</v>
      </c>
      <c r="R87" s="9" t="n">
        <f aca="false">R86+Q87</f>
        <v>1620448.28</v>
      </c>
      <c r="S87" s="37" t="str">
        <f aca="false">IF(AND(R86&lt;0,R87&gt;=0,A87&lt;=MAX(120,Premissas!$B$15*12)),(A87-1)+(-R86)/Q87,"")</f>
        <v/>
      </c>
    </row>
    <row r="88" customFormat="false" ht="15" hidden="false" customHeight="false" outlineLevel="0" collapsed="false">
      <c r="A88" s="10" t="n">
        <f aca="false">A87+1</f>
        <v>84</v>
      </c>
      <c r="B88" s="36" t="n">
        <f aca="false">IF(Premissas!$B$9&lt;=1,1,MIN(1,Premissas!$B$8/100+(1-Premissas!$B$8/100)*(A88-1)/(Premissas!$B$9-1)))</f>
        <v>1</v>
      </c>
      <c r="C88" s="9" t="n">
        <f aca="false">IF(A88&lt;=Resultados!$B$9,Resultados!$B$10,0)</f>
        <v>0</v>
      </c>
      <c r="D88" s="9" t="n">
        <f aca="false">Resultados!$E$37*$B88-Resultados!$F$37*$B88-Premissas!$B$24-Resultados!$E$37*$B88*(Premissas!$B$14/100)</f>
        <v>19027</v>
      </c>
      <c r="E88" s="9" t="n">
        <f aca="false">D88-$C88</f>
        <v>19027</v>
      </c>
      <c r="F88" s="9" t="n">
        <f aca="false">F87+E88</f>
        <v>1208664.9</v>
      </c>
      <c r="G88" s="37" t="str">
        <f aca="false">IF(AND(F87&lt;0,F88&gt;=0,A88&lt;=MAX(120,Premissas!$B$15*12)),(A88-1)+(-F87)/E88,"")</f>
        <v/>
      </c>
      <c r="H88" s="9" t="n">
        <f aca="false">Resultados!$E$38*$B88-Resultados!$F$38*$B88-Premissas!$B$24-Resultados!$E$38*$B88*(Premissas!$B$14/100)</f>
        <v>24432.4</v>
      </c>
      <c r="I88" s="9" t="n">
        <f aca="false">H88-$C88</f>
        <v>24432.4</v>
      </c>
      <c r="J88" s="9" t="n">
        <f aca="false">J87+I88</f>
        <v>1644880.68</v>
      </c>
      <c r="K88" s="37" t="str">
        <f aca="false">IF(AND(J87&lt;0,J88&gt;=0,A88&lt;=MAX(120,Premissas!$B$15*12)),(A88-1)+(-J87)/I88,"")</f>
        <v/>
      </c>
      <c r="L88" s="9" t="n">
        <f aca="false">Resultados!$E$39*$B88-Resultados!$F$39*$B88-Premissas!$B$24-Resultados!$E$39*$B88*(Premissas!$B$14/100)</f>
        <v>29837.8</v>
      </c>
      <c r="M88" s="9" t="n">
        <f aca="false">L88-$C88</f>
        <v>29837.8</v>
      </c>
      <c r="N88" s="9" t="n">
        <f aca="false">N87+M88</f>
        <v>2081096.46</v>
      </c>
      <c r="O88" s="37" t="str">
        <f aca="false">IF(AND(N87&lt;0,N88&gt;=0,A88&lt;=MAX(120,Premissas!$B$15*12)),(A88-1)+(-N87)/M88,"")</f>
        <v/>
      </c>
      <c r="P88" s="9" t="n">
        <f aca="false">Resultados!$B$19*$B88-Resultados!$B$20*$B88-Premissas!$B$24-Resultados!$B$19*$B88*(Premissas!$B$14/100)</f>
        <v>24432.4</v>
      </c>
      <c r="Q88" s="9" t="n">
        <f aca="false">P88-$C88</f>
        <v>24432.4</v>
      </c>
      <c r="R88" s="9" t="n">
        <f aca="false">R87+Q88</f>
        <v>1644880.68</v>
      </c>
      <c r="S88" s="37" t="str">
        <f aca="false">IF(AND(R87&lt;0,R88&gt;=0,A88&lt;=MAX(120,Premissas!$B$15*12)),(A88-1)+(-R87)/Q88,"")</f>
        <v/>
      </c>
    </row>
    <row r="89" customFormat="false" ht="15" hidden="false" customHeight="false" outlineLevel="0" collapsed="false">
      <c r="A89" s="10" t="n">
        <f aca="false">A88+1</f>
        <v>85</v>
      </c>
      <c r="B89" s="36" t="n">
        <f aca="false">IF(Premissas!$B$9&lt;=1,1,MIN(1,Premissas!$B$8/100+(1-Premissas!$B$8/100)*(A89-1)/(Premissas!$B$9-1)))</f>
        <v>1</v>
      </c>
      <c r="C89" s="9" t="n">
        <f aca="false">IF(A89&lt;=Resultados!$B$9,Resultados!$B$10,0)</f>
        <v>0</v>
      </c>
      <c r="D89" s="9" t="n">
        <f aca="false">Resultados!$E$37*$B89-Resultados!$F$37*$B89-Premissas!$B$24-Resultados!$E$37*$B89*(Premissas!$B$14/100)</f>
        <v>19027</v>
      </c>
      <c r="E89" s="9" t="n">
        <f aca="false">D89-$C89</f>
        <v>19027</v>
      </c>
      <c r="F89" s="9" t="n">
        <f aca="false">F88+E89</f>
        <v>1227691.9</v>
      </c>
      <c r="G89" s="37" t="str">
        <f aca="false">IF(AND(F88&lt;0,F89&gt;=0,A89&lt;=MAX(120,Premissas!$B$15*12)),(A89-1)+(-F88)/E89,"")</f>
        <v/>
      </c>
      <c r="H89" s="9" t="n">
        <f aca="false">Resultados!$E$38*$B89-Resultados!$F$38*$B89-Premissas!$B$24-Resultados!$E$38*$B89*(Premissas!$B$14/100)</f>
        <v>24432.4</v>
      </c>
      <c r="I89" s="9" t="n">
        <f aca="false">H89-$C89</f>
        <v>24432.4</v>
      </c>
      <c r="J89" s="9" t="n">
        <f aca="false">J88+I89</f>
        <v>1669313.08</v>
      </c>
      <c r="K89" s="37" t="str">
        <f aca="false">IF(AND(J88&lt;0,J89&gt;=0,A89&lt;=MAX(120,Premissas!$B$15*12)),(A89-1)+(-J88)/I89,"")</f>
        <v/>
      </c>
      <c r="L89" s="9" t="n">
        <f aca="false">Resultados!$E$39*$B89-Resultados!$F$39*$B89-Premissas!$B$24-Resultados!$E$39*$B89*(Premissas!$B$14/100)</f>
        <v>29837.8</v>
      </c>
      <c r="M89" s="9" t="n">
        <f aca="false">L89-$C89</f>
        <v>29837.8</v>
      </c>
      <c r="N89" s="9" t="n">
        <f aca="false">N88+M89</f>
        <v>2110934.26</v>
      </c>
      <c r="O89" s="37" t="str">
        <f aca="false">IF(AND(N88&lt;0,N89&gt;=0,A89&lt;=MAX(120,Premissas!$B$15*12)),(A89-1)+(-N88)/M89,"")</f>
        <v/>
      </c>
      <c r="P89" s="9" t="n">
        <f aca="false">Resultados!$B$19*$B89-Resultados!$B$20*$B89-Premissas!$B$24-Resultados!$B$19*$B89*(Premissas!$B$14/100)</f>
        <v>24432.4</v>
      </c>
      <c r="Q89" s="9" t="n">
        <f aca="false">P89-$C89</f>
        <v>24432.4</v>
      </c>
      <c r="R89" s="9" t="n">
        <f aca="false">R88+Q89</f>
        <v>1669313.08</v>
      </c>
      <c r="S89" s="37" t="str">
        <f aca="false">IF(AND(R88&lt;0,R89&gt;=0,A89&lt;=MAX(120,Premissas!$B$15*12)),(A89-1)+(-R88)/Q89,"")</f>
        <v/>
      </c>
    </row>
    <row r="90" customFormat="false" ht="15" hidden="false" customHeight="false" outlineLevel="0" collapsed="false">
      <c r="A90" s="10" t="n">
        <f aca="false">A89+1</f>
        <v>86</v>
      </c>
      <c r="B90" s="36" t="n">
        <f aca="false">IF(Premissas!$B$9&lt;=1,1,MIN(1,Premissas!$B$8/100+(1-Premissas!$B$8/100)*(A90-1)/(Premissas!$B$9-1)))</f>
        <v>1</v>
      </c>
      <c r="C90" s="9" t="n">
        <f aca="false">IF(A90&lt;=Resultados!$B$9,Resultados!$B$10,0)</f>
        <v>0</v>
      </c>
      <c r="D90" s="9" t="n">
        <f aca="false">Resultados!$E$37*$B90-Resultados!$F$37*$B90-Premissas!$B$24-Resultados!$E$37*$B90*(Premissas!$B$14/100)</f>
        <v>19027</v>
      </c>
      <c r="E90" s="9" t="n">
        <f aca="false">D90-$C90</f>
        <v>19027</v>
      </c>
      <c r="F90" s="9" t="n">
        <f aca="false">F89+E90</f>
        <v>1246718.9</v>
      </c>
      <c r="G90" s="37" t="str">
        <f aca="false">IF(AND(F89&lt;0,F90&gt;=0,A90&lt;=MAX(120,Premissas!$B$15*12)),(A90-1)+(-F89)/E90,"")</f>
        <v/>
      </c>
      <c r="H90" s="9" t="n">
        <f aca="false">Resultados!$E$38*$B90-Resultados!$F$38*$B90-Premissas!$B$24-Resultados!$E$38*$B90*(Premissas!$B$14/100)</f>
        <v>24432.4</v>
      </c>
      <c r="I90" s="9" t="n">
        <f aca="false">H90-$C90</f>
        <v>24432.4</v>
      </c>
      <c r="J90" s="9" t="n">
        <f aca="false">J89+I90</f>
        <v>1693745.48</v>
      </c>
      <c r="K90" s="37" t="str">
        <f aca="false">IF(AND(J89&lt;0,J90&gt;=0,A90&lt;=MAX(120,Premissas!$B$15*12)),(A90-1)+(-J89)/I90,"")</f>
        <v/>
      </c>
      <c r="L90" s="9" t="n">
        <f aca="false">Resultados!$E$39*$B90-Resultados!$F$39*$B90-Premissas!$B$24-Resultados!$E$39*$B90*(Premissas!$B$14/100)</f>
        <v>29837.8</v>
      </c>
      <c r="M90" s="9" t="n">
        <f aca="false">L90-$C90</f>
        <v>29837.8</v>
      </c>
      <c r="N90" s="9" t="n">
        <f aca="false">N89+M90</f>
        <v>2140772.06</v>
      </c>
      <c r="O90" s="37" t="str">
        <f aca="false">IF(AND(N89&lt;0,N90&gt;=0,A90&lt;=MAX(120,Premissas!$B$15*12)),(A90-1)+(-N89)/M90,"")</f>
        <v/>
      </c>
      <c r="P90" s="9" t="n">
        <f aca="false">Resultados!$B$19*$B90-Resultados!$B$20*$B90-Premissas!$B$24-Resultados!$B$19*$B90*(Premissas!$B$14/100)</f>
        <v>24432.4</v>
      </c>
      <c r="Q90" s="9" t="n">
        <f aca="false">P90-$C90</f>
        <v>24432.4</v>
      </c>
      <c r="R90" s="9" t="n">
        <f aca="false">R89+Q90</f>
        <v>1693745.48</v>
      </c>
      <c r="S90" s="37" t="str">
        <f aca="false">IF(AND(R89&lt;0,R90&gt;=0,A90&lt;=MAX(120,Premissas!$B$15*12)),(A90-1)+(-R89)/Q90,"")</f>
        <v/>
      </c>
    </row>
    <row r="91" customFormat="false" ht="15" hidden="false" customHeight="false" outlineLevel="0" collapsed="false">
      <c r="A91" s="10" t="n">
        <f aca="false">A90+1</f>
        <v>87</v>
      </c>
      <c r="B91" s="36" t="n">
        <f aca="false">IF(Premissas!$B$9&lt;=1,1,MIN(1,Premissas!$B$8/100+(1-Premissas!$B$8/100)*(A91-1)/(Premissas!$B$9-1)))</f>
        <v>1</v>
      </c>
      <c r="C91" s="9" t="n">
        <f aca="false">IF(A91&lt;=Resultados!$B$9,Resultados!$B$10,0)</f>
        <v>0</v>
      </c>
      <c r="D91" s="9" t="n">
        <f aca="false">Resultados!$E$37*$B91-Resultados!$F$37*$B91-Premissas!$B$24-Resultados!$E$37*$B91*(Premissas!$B$14/100)</f>
        <v>19027</v>
      </c>
      <c r="E91" s="9" t="n">
        <f aca="false">D91-$C91</f>
        <v>19027</v>
      </c>
      <c r="F91" s="9" t="n">
        <f aca="false">F90+E91</f>
        <v>1265745.9</v>
      </c>
      <c r="G91" s="37" t="str">
        <f aca="false">IF(AND(F90&lt;0,F91&gt;=0,A91&lt;=MAX(120,Premissas!$B$15*12)),(A91-1)+(-F90)/E91,"")</f>
        <v/>
      </c>
      <c r="H91" s="9" t="n">
        <f aca="false">Resultados!$E$38*$B91-Resultados!$F$38*$B91-Premissas!$B$24-Resultados!$E$38*$B91*(Premissas!$B$14/100)</f>
        <v>24432.4</v>
      </c>
      <c r="I91" s="9" t="n">
        <f aca="false">H91-$C91</f>
        <v>24432.4</v>
      </c>
      <c r="J91" s="9" t="n">
        <f aca="false">J90+I91</f>
        <v>1718177.88</v>
      </c>
      <c r="K91" s="37" t="str">
        <f aca="false">IF(AND(J90&lt;0,J91&gt;=0,A91&lt;=MAX(120,Premissas!$B$15*12)),(A91-1)+(-J90)/I91,"")</f>
        <v/>
      </c>
      <c r="L91" s="9" t="n">
        <f aca="false">Resultados!$E$39*$B91-Resultados!$F$39*$B91-Premissas!$B$24-Resultados!$E$39*$B91*(Premissas!$B$14/100)</f>
        <v>29837.8</v>
      </c>
      <c r="M91" s="9" t="n">
        <f aca="false">L91-$C91</f>
        <v>29837.8</v>
      </c>
      <c r="N91" s="9" t="n">
        <f aca="false">N90+M91</f>
        <v>2170609.86</v>
      </c>
      <c r="O91" s="37" t="str">
        <f aca="false">IF(AND(N90&lt;0,N91&gt;=0,A91&lt;=MAX(120,Premissas!$B$15*12)),(A91-1)+(-N90)/M91,"")</f>
        <v/>
      </c>
      <c r="P91" s="9" t="n">
        <f aca="false">Resultados!$B$19*$B91-Resultados!$B$20*$B91-Premissas!$B$24-Resultados!$B$19*$B91*(Premissas!$B$14/100)</f>
        <v>24432.4</v>
      </c>
      <c r="Q91" s="9" t="n">
        <f aca="false">P91-$C91</f>
        <v>24432.4</v>
      </c>
      <c r="R91" s="9" t="n">
        <f aca="false">R90+Q91</f>
        <v>1718177.88</v>
      </c>
      <c r="S91" s="37" t="str">
        <f aca="false">IF(AND(R90&lt;0,R91&gt;=0,A91&lt;=MAX(120,Premissas!$B$15*12)),(A91-1)+(-R90)/Q91,"")</f>
        <v/>
      </c>
    </row>
    <row r="92" customFormat="false" ht="15" hidden="false" customHeight="false" outlineLevel="0" collapsed="false">
      <c r="A92" s="10" t="n">
        <f aca="false">A91+1</f>
        <v>88</v>
      </c>
      <c r="B92" s="36" t="n">
        <f aca="false">IF(Premissas!$B$9&lt;=1,1,MIN(1,Premissas!$B$8/100+(1-Premissas!$B$8/100)*(A92-1)/(Premissas!$B$9-1)))</f>
        <v>1</v>
      </c>
      <c r="C92" s="9" t="n">
        <f aca="false">IF(A92&lt;=Resultados!$B$9,Resultados!$B$10,0)</f>
        <v>0</v>
      </c>
      <c r="D92" s="9" t="n">
        <f aca="false">Resultados!$E$37*$B92-Resultados!$F$37*$B92-Premissas!$B$24-Resultados!$E$37*$B92*(Premissas!$B$14/100)</f>
        <v>19027</v>
      </c>
      <c r="E92" s="9" t="n">
        <f aca="false">D92-$C92</f>
        <v>19027</v>
      </c>
      <c r="F92" s="9" t="n">
        <f aca="false">F91+E92</f>
        <v>1284772.9</v>
      </c>
      <c r="G92" s="37" t="str">
        <f aca="false">IF(AND(F91&lt;0,F92&gt;=0,A92&lt;=MAX(120,Premissas!$B$15*12)),(A92-1)+(-F91)/E92,"")</f>
        <v/>
      </c>
      <c r="H92" s="9" t="n">
        <f aca="false">Resultados!$E$38*$B92-Resultados!$F$38*$B92-Premissas!$B$24-Resultados!$E$38*$B92*(Premissas!$B$14/100)</f>
        <v>24432.4</v>
      </c>
      <c r="I92" s="9" t="n">
        <f aca="false">H92-$C92</f>
        <v>24432.4</v>
      </c>
      <c r="J92" s="9" t="n">
        <f aca="false">J91+I92</f>
        <v>1742610.28</v>
      </c>
      <c r="K92" s="37" t="str">
        <f aca="false">IF(AND(J91&lt;0,J92&gt;=0,A92&lt;=MAX(120,Premissas!$B$15*12)),(A92-1)+(-J91)/I92,"")</f>
        <v/>
      </c>
      <c r="L92" s="9" t="n">
        <f aca="false">Resultados!$E$39*$B92-Resultados!$F$39*$B92-Premissas!$B$24-Resultados!$E$39*$B92*(Premissas!$B$14/100)</f>
        <v>29837.8</v>
      </c>
      <c r="M92" s="9" t="n">
        <f aca="false">L92-$C92</f>
        <v>29837.8</v>
      </c>
      <c r="N92" s="9" t="n">
        <f aca="false">N91+M92</f>
        <v>2200447.66</v>
      </c>
      <c r="O92" s="37" t="str">
        <f aca="false">IF(AND(N91&lt;0,N92&gt;=0,A92&lt;=MAX(120,Premissas!$B$15*12)),(A92-1)+(-N91)/M92,"")</f>
        <v/>
      </c>
      <c r="P92" s="9" t="n">
        <f aca="false">Resultados!$B$19*$B92-Resultados!$B$20*$B92-Premissas!$B$24-Resultados!$B$19*$B92*(Premissas!$B$14/100)</f>
        <v>24432.4</v>
      </c>
      <c r="Q92" s="9" t="n">
        <f aca="false">P92-$C92</f>
        <v>24432.4</v>
      </c>
      <c r="R92" s="9" t="n">
        <f aca="false">R91+Q92</f>
        <v>1742610.28</v>
      </c>
      <c r="S92" s="37" t="str">
        <f aca="false">IF(AND(R91&lt;0,R92&gt;=0,A92&lt;=MAX(120,Premissas!$B$15*12)),(A92-1)+(-R91)/Q92,"")</f>
        <v/>
      </c>
    </row>
    <row r="93" customFormat="false" ht="15" hidden="false" customHeight="false" outlineLevel="0" collapsed="false">
      <c r="A93" s="10" t="n">
        <f aca="false">A92+1</f>
        <v>89</v>
      </c>
      <c r="B93" s="36" t="n">
        <f aca="false">IF(Premissas!$B$9&lt;=1,1,MIN(1,Premissas!$B$8/100+(1-Premissas!$B$8/100)*(A93-1)/(Premissas!$B$9-1)))</f>
        <v>1</v>
      </c>
      <c r="C93" s="9" t="n">
        <f aca="false">IF(A93&lt;=Resultados!$B$9,Resultados!$B$10,0)</f>
        <v>0</v>
      </c>
      <c r="D93" s="9" t="n">
        <f aca="false">Resultados!$E$37*$B93-Resultados!$F$37*$B93-Premissas!$B$24-Resultados!$E$37*$B93*(Premissas!$B$14/100)</f>
        <v>19027</v>
      </c>
      <c r="E93" s="9" t="n">
        <f aca="false">D93-$C93</f>
        <v>19027</v>
      </c>
      <c r="F93" s="9" t="n">
        <f aca="false">F92+E93</f>
        <v>1303799.9</v>
      </c>
      <c r="G93" s="37" t="str">
        <f aca="false">IF(AND(F92&lt;0,F93&gt;=0,A93&lt;=MAX(120,Premissas!$B$15*12)),(A93-1)+(-F92)/E93,"")</f>
        <v/>
      </c>
      <c r="H93" s="9" t="n">
        <f aca="false">Resultados!$E$38*$B93-Resultados!$F$38*$B93-Premissas!$B$24-Resultados!$E$38*$B93*(Premissas!$B$14/100)</f>
        <v>24432.4</v>
      </c>
      <c r="I93" s="9" t="n">
        <f aca="false">H93-$C93</f>
        <v>24432.4</v>
      </c>
      <c r="J93" s="9" t="n">
        <f aca="false">J92+I93</f>
        <v>1767042.68</v>
      </c>
      <c r="K93" s="37" t="str">
        <f aca="false">IF(AND(J92&lt;0,J93&gt;=0,A93&lt;=MAX(120,Premissas!$B$15*12)),(A93-1)+(-J92)/I93,"")</f>
        <v/>
      </c>
      <c r="L93" s="9" t="n">
        <f aca="false">Resultados!$E$39*$B93-Resultados!$F$39*$B93-Premissas!$B$24-Resultados!$E$39*$B93*(Premissas!$B$14/100)</f>
        <v>29837.8</v>
      </c>
      <c r="M93" s="9" t="n">
        <f aca="false">L93-$C93</f>
        <v>29837.8</v>
      </c>
      <c r="N93" s="9" t="n">
        <f aca="false">N92+M93</f>
        <v>2230285.46</v>
      </c>
      <c r="O93" s="37" t="str">
        <f aca="false">IF(AND(N92&lt;0,N93&gt;=0,A93&lt;=MAX(120,Premissas!$B$15*12)),(A93-1)+(-N92)/M93,"")</f>
        <v/>
      </c>
      <c r="P93" s="9" t="n">
        <f aca="false">Resultados!$B$19*$B93-Resultados!$B$20*$B93-Premissas!$B$24-Resultados!$B$19*$B93*(Premissas!$B$14/100)</f>
        <v>24432.4</v>
      </c>
      <c r="Q93" s="9" t="n">
        <f aca="false">P93-$C93</f>
        <v>24432.4</v>
      </c>
      <c r="R93" s="9" t="n">
        <f aca="false">R92+Q93</f>
        <v>1767042.68</v>
      </c>
      <c r="S93" s="37" t="str">
        <f aca="false">IF(AND(R92&lt;0,R93&gt;=0,A93&lt;=MAX(120,Premissas!$B$15*12)),(A93-1)+(-R92)/Q93,"")</f>
        <v/>
      </c>
    </row>
    <row r="94" customFormat="false" ht="15" hidden="false" customHeight="false" outlineLevel="0" collapsed="false">
      <c r="A94" s="10" t="n">
        <f aca="false">A93+1</f>
        <v>90</v>
      </c>
      <c r="B94" s="36" t="n">
        <f aca="false">IF(Premissas!$B$9&lt;=1,1,MIN(1,Premissas!$B$8/100+(1-Premissas!$B$8/100)*(A94-1)/(Premissas!$B$9-1)))</f>
        <v>1</v>
      </c>
      <c r="C94" s="9" t="n">
        <f aca="false">IF(A94&lt;=Resultados!$B$9,Resultados!$B$10,0)</f>
        <v>0</v>
      </c>
      <c r="D94" s="9" t="n">
        <f aca="false">Resultados!$E$37*$B94-Resultados!$F$37*$B94-Premissas!$B$24-Resultados!$E$37*$B94*(Premissas!$B$14/100)</f>
        <v>19027</v>
      </c>
      <c r="E94" s="9" t="n">
        <f aca="false">D94-$C94</f>
        <v>19027</v>
      </c>
      <c r="F94" s="9" t="n">
        <f aca="false">F93+E94</f>
        <v>1322826.9</v>
      </c>
      <c r="G94" s="37" t="str">
        <f aca="false">IF(AND(F93&lt;0,F94&gt;=0,A94&lt;=MAX(120,Premissas!$B$15*12)),(A94-1)+(-F93)/E94,"")</f>
        <v/>
      </c>
      <c r="H94" s="9" t="n">
        <f aca="false">Resultados!$E$38*$B94-Resultados!$F$38*$B94-Premissas!$B$24-Resultados!$E$38*$B94*(Premissas!$B$14/100)</f>
        <v>24432.4</v>
      </c>
      <c r="I94" s="9" t="n">
        <f aca="false">H94-$C94</f>
        <v>24432.4</v>
      </c>
      <c r="J94" s="9" t="n">
        <f aca="false">J93+I94</f>
        <v>1791475.08</v>
      </c>
      <c r="K94" s="37" t="str">
        <f aca="false">IF(AND(J93&lt;0,J94&gt;=0,A94&lt;=MAX(120,Premissas!$B$15*12)),(A94-1)+(-J93)/I94,"")</f>
        <v/>
      </c>
      <c r="L94" s="9" t="n">
        <f aca="false">Resultados!$E$39*$B94-Resultados!$F$39*$B94-Premissas!$B$24-Resultados!$E$39*$B94*(Premissas!$B$14/100)</f>
        <v>29837.8</v>
      </c>
      <c r="M94" s="9" t="n">
        <f aca="false">L94-$C94</f>
        <v>29837.8</v>
      </c>
      <c r="N94" s="9" t="n">
        <f aca="false">N93+M94</f>
        <v>2260123.26</v>
      </c>
      <c r="O94" s="37" t="str">
        <f aca="false">IF(AND(N93&lt;0,N94&gt;=0,A94&lt;=MAX(120,Premissas!$B$15*12)),(A94-1)+(-N93)/M94,"")</f>
        <v/>
      </c>
      <c r="P94" s="9" t="n">
        <f aca="false">Resultados!$B$19*$B94-Resultados!$B$20*$B94-Premissas!$B$24-Resultados!$B$19*$B94*(Premissas!$B$14/100)</f>
        <v>24432.4</v>
      </c>
      <c r="Q94" s="9" t="n">
        <f aca="false">P94-$C94</f>
        <v>24432.4</v>
      </c>
      <c r="R94" s="9" t="n">
        <f aca="false">R93+Q94</f>
        <v>1791475.08</v>
      </c>
      <c r="S94" s="37" t="str">
        <f aca="false">IF(AND(R93&lt;0,R94&gt;=0,A94&lt;=MAX(120,Premissas!$B$15*12)),(A94-1)+(-R93)/Q94,"")</f>
        <v/>
      </c>
    </row>
    <row r="95" customFormat="false" ht="15" hidden="false" customHeight="false" outlineLevel="0" collapsed="false">
      <c r="A95" s="10" t="n">
        <f aca="false">A94+1</f>
        <v>91</v>
      </c>
      <c r="B95" s="36" t="n">
        <f aca="false">IF(Premissas!$B$9&lt;=1,1,MIN(1,Premissas!$B$8/100+(1-Premissas!$B$8/100)*(A95-1)/(Premissas!$B$9-1)))</f>
        <v>1</v>
      </c>
      <c r="C95" s="9" t="n">
        <f aca="false">IF(A95&lt;=Resultados!$B$9,Resultados!$B$10,0)</f>
        <v>0</v>
      </c>
      <c r="D95" s="9" t="n">
        <f aca="false">Resultados!$E$37*$B95-Resultados!$F$37*$B95-Premissas!$B$24-Resultados!$E$37*$B95*(Premissas!$B$14/100)</f>
        <v>19027</v>
      </c>
      <c r="E95" s="9" t="n">
        <f aca="false">D95-$C95</f>
        <v>19027</v>
      </c>
      <c r="F95" s="9" t="n">
        <f aca="false">F94+E95</f>
        <v>1341853.9</v>
      </c>
      <c r="G95" s="37" t="str">
        <f aca="false">IF(AND(F94&lt;0,F95&gt;=0,A95&lt;=MAX(120,Premissas!$B$15*12)),(A95-1)+(-F94)/E95,"")</f>
        <v/>
      </c>
      <c r="H95" s="9" t="n">
        <f aca="false">Resultados!$E$38*$B95-Resultados!$F$38*$B95-Premissas!$B$24-Resultados!$E$38*$B95*(Premissas!$B$14/100)</f>
        <v>24432.4</v>
      </c>
      <c r="I95" s="9" t="n">
        <f aca="false">H95-$C95</f>
        <v>24432.4</v>
      </c>
      <c r="J95" s="9" t="n">
        <f aca="false">J94+I95</f>
        <v>1815907.48</v>
      </c>
      <c r="K95" s="37" t="str">
        <f aca="false">IF(AND(J94&lt;0,J95&gt;=0,A95&lt;=MAX(120,Premissas!$B$15*12)),(A95-1)+(-J94)/I95,"")</f>
        <v/>
      </c>
      <c r="L95" s="9" t="n">
        <f aca="false">Resultados!$E$39*$B95-Resultados!$F$39*$B95-Premissas!$B$24-Resultados!$E$39*$B95*(Premissas!$B$14/100)</f>
        <v>29837.8</v>
      </c>
      <c r="M95" s="9" t="n">
        <f aca="false">L95-$C95</f>
        <v>29837.8</v>
      </c>
      <c r="N95" s="9" t="n">
        <f aca="false">N94+M95</f>
        <v>2289961.06</v>
      </c>
      <c r="O95" s="37" t="str">
        <f aca="false">IF(AND(N94&lt;0,N95&gt;=0,A95&lt;=MAX(120,Premissas!$B$15*12)),(A95-1)+(-N94)/M95,"")</f>
        <v/>
      </c>
      <c r="P95" s="9" t="n">
        <f aca="false">Resultados!$B$19*$B95-Resultados!$B$20*$B95-Premissas!$B$24-Resultados!$B$19*$B95*(Premissas!$B$14/100)</f>
        <v>24432.4</v>
      </c>
      <c r="Q95" s="9" t="n">
        <f aca="false">P95-$C95</f>
        <v>24432.4</v>
      </c>
      <c r="R95" s="9" t="n">
        <f aca="false">R94+Q95</f>
        <v>1815907.48</v>
      </c>
      <c r="S95" s="37" t="str">
        <f aca="false">IF(AND(R94&lt;0,R95&gt;=0,A95&lt;=MAX(120,Premissas!$B$15*12)),(A95-1)+(-R94)/Q95,"")</f>
        <v/>
      </c>
    </row>
    <row r="96" customFormat="false" ht="15" hidden="false" customHeight="false" outlineLevel="0" collapsed="false">
      <c r="A96" s="10" t="n">
        <f aca="false">A95+1</f>
        <v>92</v>
      </c>
      <c r="B96" s="36" t="n">
        <f aca="false">IF(Premissas!$B$9&lt;=1,1,MIN(1,Premissas!$B$8/100+(1-Premissas!$B$8/100)*(A96-1)/(Premissas!$B$9-1)))</f>
        <v>1</v>
      </c>
      <c r="C96" s="9" t="n">
        <f aca="false">IF(A96&lt;=Resultados!$B$9,Resultados!$B$10,0)</f>
        <v>0</v>
      </c>
      <c r="D96" s="9" t="n">
        <f aca="false">Resultados!$E$37*$B96-Resultados!$F$37*$B96-Premissas!$B$24-Resultados!$E$37*$B96*(Premissas!$B$14/100)</f>
        <v>19027</v>
      </c>
      <c r="E96" s="9" t="n">
        <f aca="false">D96-$C96</f>
        <v>19027</v>
      </c>
      <c r="F96" s="9" t="n">
        <f aca="false">F95+E96</f>
        <v>1360880.9</v>
      </c>
      <c r="G96" s="37" t="str">
        <f aca="false">IF(AND(F95&lt;0,F96&gt;=0,A96&lt;=MAX(120,Premissas!$B$15*12)),(A96-1)+(-F95)/E96,"")</f>
        <v/>
      </c>
      <c r="H96" s="9" t="n">
        <f aca="false">Resultados!$E$38*$B96-Resultados!$F$38*$B96-Premissas!$B$24-Resultados!$E$38*$B96*(Premissas!$B$14/100)</f>
        <v>24432.4</v>
      </c>
      <c r="I96" s="9" t="n">
        <f aca="false">H96-$C96</f>
        <v>24432.4</v>
      </c>
      <c r="J96" s="9" t="n">
        <f aca="false">J95+I96</f>
        <v>1840339.88</v>
      </c>
      <c r="K96" s="37" t="str">
        <f aca="false">IF(AND(J95&lt;0,J96&gt;=0,A96&lt;=MAX(120,Premissas!$B$15*12)),(A96-1)+(-J95)/I96,"")</f>
        <v/>
      </c>
      <c r="L96" s="9" t="n">
        <f aca="false">Resultados!$E$39*$B96-Resultados!$F$39*$B96-Premissas!$B$24-Resultados!$E$39*$B96*(Premissas!$B$14/100)</f>
        <v>29837.8</v>
      </c>
      <c r="M96" s="9" t="n">
        <f aca="false">L96-$C96</f>
        <v>29837.8</v>
      </c>
      <c r="N96" s="9" t="n">
        <f aca="false">N95+M96</f>
        <v>2319798.86</v>
      </c>
      <c r="O96" s="37" t="str">
        <f aca="false">IF(AND(N95&lt;0,N96&gt;=0,A96&lt;=MAX(120,Premissas!$B$15*12)),(A96-1)+(-N95)/M96,"")</f>
        <v/>
      </c>
      <c r="P96" s="9" t="n">
        <f aca="false">Resultados!$B$19*$B96-Resultados!$B$20*$B96-Premissas!$B$24-Resultados!$B$19*$B96*(Premissas!$B$14/100)</f>
        <v>24432.4</v>
      </c>
      <c r="Q96" s="9" t="n">
        <f aca="false">P96-$C96</f>
        <v>24432.4</v>
      </c>
      <c r="R96" s="9" t="n">
        <f aca="false">R95+Q96</f>
        <v>1840339.88</v>
      </c>
      <c r="S96" s="37" t="str">
        <f aca="false">IF(AND(R95&lt;0,R96&gt;=0,A96&lt;=MAX(120,Premissas!$B$15*12)),(A96-1)+(-R95)/Q96,"")</f>
        <v/>
      </c>
    </row>
    <row r="97" customFormat="false" ht="15" hidden="false" customHeight="false" outlineLevel="0" collapsed="false">
      <c r="A97" s="10" t="n">
        <f aca="false">A96+1</f>
        <v>93</v>
      </c>
      <c r="B97" s="36" t="n">
        <f aca="false">IF(Premissas!$B$9&lt;=1,1,MIN(1,Premissas!$B$8/100+(1-Premissas!$B$8/100)*(A97-1)/(Premissas!$B$9-1)))</f>
        <v>1</v>
      </c>
      <c r="C97" s="9" t="n">
        <f aca="false">IF(A97&lt;=Resultados!$B$9,Resultados!$B$10,0)</f>
        <v>0</v>
      </c>
      <c r="D97" s="9" t="n">
        <f aca="false">Resultados!$E$37*$B97-Resultados!$F$37*$B97-Premissas!$B$24-Resultados!$E$37*$B97*(Premissas!$B$14/100)</f>
        <v>19027</v>
      </c>
      <c r="E97" s="9" t="n">
        <f aca="false">D97-$C97</f>
        <v>19027</v>
      </c>
      <c r="F97" s="9" t="n">
        <f aca="false">F96+E97</f>
        <v>1379907.9</v>
      </c>
      <c r="G97" s="37" t="str">
        <f aca="false">IF(AND(F96&lt;0,F97&gt;=0,A97&lt;=MAX(120,Premissas!$B$15*12)),(A97-1)+(-F96)/E97,"")</f>
        <v/>
      </c>
      <c r="H97" s="9" t="n">
        <f aca="false">Resultados!$E$38*$B97-Resultados!$F$38*$B97-Premissas!$B$24-Resultados!$E$38*$B97*(Premissas!$B$14/100)</f>
        <v>24432.4</v>
      </c>
      <c r="I97" s="9" t="n">
        <f aca="false">H97-$C97</f>
        <v>24432.4</v>
      </c>
      <c r="J97" s="9" t="n">
        <f aca="false">J96+I97</f>
        <v>1864772.28</v>
      </c>
      <c r="K97" s="37" t="str">
        <f aca="false">IF(AND(J96&lt;0,J97&gt;=0,A97&lt;=MAX(120,Premissas!$B$15*12)),(A97-1)+(-J96)/I97,"")</f>
        <v/>
      </c>
      <c r="L97" s="9" t="n">
        <f aca="false">Resultados!$E$39*$B97-Resultados!$F$39*$B97-Premissas!$B$24-Resultados!$E$39*$B97*(Premissas!$B$14/100)</f>
        <v>29837.8</v>
      </c>
      <c r="M97" s="9" t="n">
        <f aca="false">L97-$C97</f>
        <v>29837.8</v>
      </c>
      <c r="N97" s="9" t="n">
        <f aca="false">N96+M97</f>
        <v>2349636.66</v>
      </c>
      <c r="O97" s="37" t="str">
        <f aca="false">IF(AND(N96&lt;0,N97&gt;=0,A97&lt;=MAX(120,Premissas!$B$15*12)),(A97-1)+(-N96)/M97,"")</f>
        <v/>
      </c>
      <c r="P97" s="9" t="n">
        <f aca="false">Resultados!$B$19*$B97-Resultados!$B$20*$B97-Premissas!$B$24-Resultados!$B$19*$B97*(Premissas!$B$14/100)</f>
        <v>24432.4</v>
      </c>
      <c r="Q97" s="9" t="n">
        <f aca="false">P97-$C97</f>
        <v>24432.4</v>
      </c>
      <c r="R97" s="9" t="n">
        <f aca="false">R96+Q97</f>
        <v>1864772.28</v>
      </c>
      <c r="S97" s="37" t="str">
        <f aca="false">IF(AND(R96&lt;0,R97&gt;=0,A97&lt;=MAX(120,Premissas!$B$15*12)),(A97-1)+(-R96)/Q97,"")</f>
        <v/>
      </c>
    </row>
    <row r="98" customFormat="false" ht="15" hidden="false" customHeight="false" outlineLevel="0" collapsed="false">
      <c r="A98" s="10" t="n">
        <f aca="false">A97+1</f>
        <v>94</v>
      </c>
      <c r="B98" s="36" t="n">
        <f aca="false">IF(Premissas!$B$9&lt;=1,1,MIN(1,Premissas!$B$8/100+(1-Premissas!$B$8/100)*(A98-1)/(Premissas!$B$9-1)))</f>
        <v>1</v>
      </c>
      <c r="C98" s="9" t="n">
        <f aca="false">IF(A98&lt;=Resultados!$B$9,Resultados!$B$10,0)</f>
        <v>0</v>
      </c>
      <c r="D98" s="9" t="n">
        <f aca="false">Resultados!$E$37*$B98-Resultados!$F$37*$B98-Premissas!$B$24-Resultados!$E$37*$B98*(Premissas!$B$14/100)</f>
        <v>19027</v>
      </c>
      <c r="E98" s="9" t="n">
        <f aca="false">D98-$C98</f>
        <v>19027</v>
      </c>
      <c r="F98" s="9" t="n">
        <f aca="false">F97+E98</f>
        <v>1398934.9</v>
      </c>
      <c r="G98" s="37" t="str">
        <f aca="false">IF(AND(F97&lt;0,F98&gt;=0,A98&lt;=MAX(120,Premissas!$B$15*12)),(A98-1)+(-F97)/E98,"")</f>
        <v/>
      </c>
      <c r="H98" s="9" t="n">
        <f aca="false">Resultados!$E$38*$B98-Resultados!$F$38*$B98-Premissas!$B$24-Resultados!$E$38*$B98*(Premissas!$B$14/100)</f>
        <v>24432.4</v>
      </c>
      <c r="I98" s="9" t="n">
        <f aca="false">H98-$C98</f>
        <v>24432.4</v>
      </c>
      <c r="J98" s="9" t="n">
        <f aca="false">J97+I98</f>
        <v>1889204.68</v>
      </c>
      <c r="K98" s="37" t="str">
        <f aca="false">IF(AND(J97&lt;0,J98&gt;=0,A98&lt;=MAX(120,Premissas!$B$15*12)),(A98-1)+(-J97)/I98,"")</f>
        <v/>
      </c>
      <c r="L98" s="9" t="n">
        <f aca="false">Resultados!$E$39*$B98-Resultados!$F$39*$B98-Premissas!$B$24-Resultados!$E$39*$B98*(Premissas!$B$14/100)</f>
        <v>29837.8</v>
      </c>
      <c r="M98" s="9" t="n">
        <f aca="false">L98-$C98</f>
        <v>29837.8</v>
      </c>
      <c r="N98" s="9" t="n">
        <f aca="false">N97+M98</f>
        <v>2379474.46</v>
      </c>
      <c r="O98" s="37" t="str">
        <f aca="false">IF(AND(N97&lt;0,N98&gt;=0,A98&lt;=MAX(120,Premissas!$B$15*12)),(A98-1)+(-N97)/M98,"")</f>
        <v/>
      </c>
      <c r="P98" s="9" t="n">
        <f aca="false">Resultados!$B$19*$B98-Resultados!$B$20*$B98-Premissas!$B$24-Resultados!$B$19*$B98*(Premissas!$B$14/100)</f>
        <v>24432.4</v>
      </c>
      <c r="Q98" s="9" t="n">
        <f aca="false">P98-$C98</f>
        <v>24432.4</v>
      </c>
      <c r="R98" s="9" t="n">
        <f aca="false">R97+Q98</f>
        <v>1889204.68</v>
      </c>
      <c r="S98" s="37" t="str">
        <f aca="false">IF(AND(R97&lt;0,R98&gt;=0,A98&lt;=MAX(120,Premissas!$B$15*12)),(A98-1)+(-R97)/Q98,"")</f>
        <v/>
      </c>
    </row>
    <row r="99" customFormat="false" ht="15" hidden="false" customHeight="false" outlineLevel="0" collapsed="false">
      <c r="A99" s="10" t="n">
        <f aca="false">A98+1</f>
        <v>95</v>
      </c>
      <c r="B99" s="36" t="n">
        <f aca="false">IF(Premissas!$B$9&lt;=1,1,MIN(1,Premissas!$B$8/100+(1-Premissas!$B$8/100)*(A99-1)/(Premissas!$B$9-1)))</f>
        <v>1</v>
      </c>
      <c r="C99" s="9" t="n">
        <f aca="false">IF(A99&lt;=Resultados!$B$9,Resultados!$B$10,0)</f>
        <v>0</v>
      </c>
      <c r="D99" s="9" t="n">
        <f aca="false">Resultados!$E$37*$B99-Resultados!$F$37*$B99-Premissas!$B$24-Resultados!$E$37*$B99*(Premissas!$B$14/100)</f>
        <v>19027</v>
      </c>
      <c r="E99" s="9" t="n">
        <f aca="false">D99-$C99</f>
        <v>19027</v>
      </c>
      <c r="F99" s="9" t="n">
        <f aca="false">F98+E99</f>
        <v>1417961.9</v>
      </c>
      <c r="G99" s="37" t="str">
        <f aca="false">IF(AND(F98&lt;0,F99&gt;=0,A99&lt;=MAX(120,Premissas!$B$15*12)),(A99-1)+(-F98)/E99,"")</f>
        <v/>
      </c>
      <c r="H99" s="9" t="n">
        <f aca="false">Resultados!$E$38*$B99-Resultados!$F$38*$B99-Premissas!$B$24-Resultados!$E$38*$B99*(Premissas!$B$14/100)</f>
        <v>24432.4</v>
      </c>
      <c r="I99" s="9" t="n">
        <f aca="false">H99-$C99</f>
        <v>24432.4</v>
      </c>
      <c r="J99" s="9" t="n">
        <f aca="false">J98+I99</f>
        <v>1913637.08</v>
      </c>
      <c r="K99" s="37" t="str">
        <f aca="false">IF(AND(J98&lt;0,J99&gt;=0,A99&lt;=MAX(120,Premissas!$B$15*12)),(A99-1)+(-J98)/I99,"")</f>
        <v/>
      </c>
      <c r="L99" s="9" t="n">
        <f aca="false">Resultados!$E$39*$B99-Resultados!$F$39*$B99-Premissas!$B$24-Resultados!$E$39*$B99*(Premissas!$B$14/100)</f>
        <v>29837.8</v>
      </c>
      <c r="M99" s="9" t="n">
        <f aca="false">L99-$C99</f>
        <v>29837.8</v>
      </c>
      <c r="N99" s="9" t="n">
        <f aca="false">N98+M99</f>
        <v>2409312.26</v>
      </c>
      <c r="O99" s="37" t="str">
        <f aca="false">IF(AND(N98&lt;0,N99&gt;=0,A99&lt;=MAX(120,Premissas!$B$15*12)),(A99-1)+(-N98)/M99,"")</f>
        <v/>
      </c>
      <c r="P99" s="9" t="n">
        <f aca="false">Resultados!$B$19*$B99-Resultados!$B$20*$B99-Premissas!$B$24-Resultados!$B$19*$B99*(Premissas!$B$14/100)</f>
        <v>24432.4</v>
      </c>
      <c r="Q99" s="9" t="n">
        <f aca="false">P99-$C99</f>
        <v>24432.4</v>
      </c>
      <c r="R99" s="9" t="n">
        <f aca="false">R98+Q99</f>
        <v>1913637.08</v>
      </c>
      <c r="S99" s="37" t="str">
        <f aca="false">IF(AND(R98&lt;0,R99&gt;=0,A99&lt;=MAX(120,Premissas!$B$15*12)),(A99-1)+(-R98)/Q99,"")</f>
        <v/>
      </c>
    </row>
    <row r="100" customFormat="false" ht="15" hidden="false" customHeight="false" outlineLevel="0" collapsed="false">
      <c r="A100" s="10" t="n">
        <f aca="false">A99+1</f>
        <v>96</v>
      </c>
      <c r="B100" s="36" t="n">
        <f aca="false">IF(Premissas!$B$9&lt;=1,1,MIN(1,Premissas!$B$8/100+(1-Premissas!$B$8/100)*(A100-1)/(Premissas!$B$9-1)))</f>
        <v>1</v>
      </c>
      <c r="C100" s="9" t="n">
        <f aca="false">IF(A100&lt;=Resultados!$B$9,Resultados!$B$10,0)</f>
        <v>0</v>
      </c>
      <c r="D100" s="9" t="n">
        <f aca="false">Resultados!$E$37*$B100-Resultados!$F$37*$B100-Premissas!$B$24-Resultados!$E$37*$B100*(Premissas!$B$14/100)</f>
        <v>19027</v>
      </c>
      <c r="E100" s="9" t="n">
        <f aca="false">D100-$C100</f>
        <v>19027</v>
      </c>
      <c r="F100" s="9" t="n">
        <f aca="false">F99+E100</f>
        <v>1436988.9</v>
      </c>
      <c r="G100" s="37" t="str">
        <f aca="false">IF(AND(F99&lt;0,F100&gt;=0,A100&lt;=MAX(120,Premissas!$B$15*12)),(A100-1)+(-F99)/E100,"")</f>
        <v/>
      </c>
      <c r="H100" s="9" t="n">
        <f aca="false">Resultados!$E$38*$B100-Resultados!$F$38*$B100-Premissas!$B$24-Resultados!$E$38*$B100*(Premissas!$B$14/100)</f>
        <v>24432.4</v>
      </c>
      <c r="I100" s="9" t="n">
        <f aca="false">H100-$C100</f>
        <v>24432.4</v>
      </c>
      <c r="J100" s="9" t="n">
        <f aca="false">J99+I100</f>
        <v>1938069.48</v>
      </c>
      <c r="K100" s="37" t="str">
        <f aca="false">IF(AND(J99&lt;0,J100&gt;=0,A100&lt;=MAX(120,Premissas!$B$15*12)),(A100-1)+(-J99)/I100,"")</f>
        <v/>
      </c>
      <c r="L100" s="9" t="n">
        <f aca="false">Resultados!$E$39*$B100-Resultados!$F$39*$B100-Premissas!$B$24-Resultados!$E$39*$B100*(Premissas!$B$14/100)</f>
        <v>29837.8</v>
      </c>
      <c r="M100" s="9" t="n">
        <f aca="false">L100-$C100</f>
        <v>29837.8</v>
      </c>
      <c r="N100" s="9" t="n">
        <f aca="false">N99+M100</f>
        <v>2439150.06</v>
      </c>
      <c r="O100" s="37" t="str">
        <f aca="false">IF(AND(N99&lt;0,N100&gt;=0,A100&lt;=MAX(120,Premissas!$B$15*12)),(A100-1)+(-N99)/M100,"")</f>
        <v/>
      </c>
      <c r="P100" s="9" t="n">
        <f aca="false">Resultados!$B$19*$B100-Resultados!$B$20*$B100-Premissas!$B$24-Resultados!$B$19*$B100*(Premissas!$B$14/100)</f>
        <v>24432.4</v>
      </c>
      <c r="Q100" s="9" t="n">
        <f aca="false">P100-$C100</f>
        <v>24432.4</v>
      </c>
      <c r="R100" s="9" t="n">
        <f aca="false">R99+Q100</f>
        <v>1938069.48</v>
      </c>
      <c r="S100" s="37" t="str">
        <f aca="false">IF(AND(R99&lt;0,R100&gt;=0,A100&lt;=MAX(120,Premissas!$B$15*12)),(A100-1)+(-R99)/Q100,"")</f>
        <v/>
      </c>
    </row>
    <row r="101" customFormat="false" ht="15" hidden="false" customHeight="false" outlineLevel="0" collapsed="false">
      <c r="A101" s="10" t="n">
        <f aca="false">A100+1</f>
        <v>97</v>
      </c>
      <c r="B101" s="36" t="n">
        <f aca="false">IF(Premissas!$B$9&lt;=1,1,MIN(1,Premissas!$B$8/100+(1-Premissas!$B$8/100)*(A101-1)/(Premissas!$B$9-1)))</f>
        <v>1</v>
      </c>
      <c r="C101" s="9" t="n">
        <f aca="false">IF(A101&lt;=Resultados!$B$9,Resultados!$B$10,0)</f>
        <v>0</v>
      </c>
      <c r="D101" s="9" t="n">
        <f aca="false">Resultados!$E$37*$B101-Resultados!$F$37*$B101-Premissas!$B$24-Resultados!$E$37*$B101*(Premissas!$B$14/100)</f>
        <v>19027</v>
      </c>
      <c r="E101" s="9" t="n">
        <f aca="false">D101-$C101</f>
        <v>19027</v>
      </c>
      <c r="F101" s="9" t="n">
        <f aca="false">F100+E101</f>
        <v>1456015.9</v>
      </c>
      <c r="G101" s="37" t="str">
        <f aca="false">IF(AND(F100&lt;0,F101&gt;=0,A101&lt;=MAX(120,Premissas!$B$15*12)),(A101-1)+(-F100)/E101,"")</f>
        <v/>
      </c>
      <c r="H101" s="9" t="n">
        <f aca="false">Resultados!$E$38*$B101-Resultados!$F$38*$B101-Premissas!$B$24-Resultados!$E$38*$B101*(Premissas!$B$14/100)</f>
        <v>24432.4</v>
      </c>
      <c r="I101" s="9" t="n">
        <f aca="false">H101-$C101</f>
        <v>24432.4</v>
      </c>
      <c r="J101" s="9" t="n">
        <f aca="false">J100+I101</f>
        <v>1962501.88</v>
      </c>
      <c r="K101" s="37" t="str">
        <f aca="false">IF(AND(J100&lt;0,J101&gt;=0,A101&lt;=MAX(120,Premissas!$B$15*12)),(A101-1)+(-J100)/I101,"")</f>
        <v/>
      </c>
      <c r="L101" s="9" t="n">
        <f aca="false">Resultados!$E$39*$B101-Resultados!$F$39*$B101-Premissas!$B$24-Resultados!$E$39*$B101*(Premissas!$B$14/100)</f>
        <v>29837.8</v>
      </c>
      <c r="M101" s="9" t="n">
        <f aca="false">L101-$C101</f>
        <v>29837.8</v>
      </c>
      <c r="N101" s="9" t="n">
        <f aca="false">N100+M101</f>
        <v>2468987.86</v>
      </c>
      <c r="O101" s="37" t="str">
        <f aca="false">IF(AND(N100&lt;0,N101&gt;=0,A101&lt;=MAX(120,Premissas!$B$15*12)),(A101-1)+(-N100)/M101,"")</f>
        <v/>
      </c>
      <c r="P101" s="9" t="n">
        <f aca="false">Resultados!$B$19*$B101-Resultados!$B$20*$B101-Premissas!$B$24-Resultados!$B$19*$B101*(Premissas!$B$14/100)</f>
        <v>24432.4</v>
      </c>
      <c r="Q101" s="9" t="n">
        <f aca="false">P101-$C101</f>
        <v>24432.4</v>
      </c>
      <c r="R101" s="9" t="n">
        <f aca="false">R100+Q101</f>
        <v>1962501.88</v>
      </c>
      <c r="S101" s="37" t="str">
        <f aca="false">IF(AND(R100&lt;0,R101&gt;=0,A101&lt;=MAX(120,Premissas!$B$15*12)),(A101-1)+(-R100)/Q101,"")</f>
        <v/>
      </c>
    </row>
    <row r="102" customFormat="false" ht="15" hidden="false" customHeight="false" outlineLevel="0" collapsed="false">
      <c r="A102" s="10" t="n">
        <f aca="false">A101+1</f>
        <v>98</v>
      </c>
      <c r="B102" s="36" t="n">
        <f aca="false">IF(Premissas!$B$9&lt;=1,1,MIN(1,Premissas!$B$8/100+(1-Premissas!$B$8/100)*(A102-1)/(Premissas!$B$9-1)))</f>
        <v>1</v>
      </c>
      <c r="C102" s="9" t="n">
        <f aca="false">IF(A102&lt;=Resultados!$B$9,Resultados!$B$10,0)</f>
        <v>0</v>
      </c>
      <c r="D102" s="9" t="n">
        <f aca="false">Resultados!$E$37*$B102-Resultados!$F$37*$B102-Premissas!$B$24-Resultados!$E$37*$B102*(Premissas!$B$14/100)</f>
        <v>19027</v>
      </c>
      <c r="E102" s="9" t="n">
        <f aca="false">D102-$C102</f>
        <v>19027</v>
      </c>
      <c r="F102" s="9" t="n">
        <f aca="false">F101+E102</f>
        <v>1475042.9</v>
      </c>
      <c r="G102" s="37" t="str">
        <f aca="false">IF(AND(F101&lt;0,F102&gt;=0,A102&lt;=MAX(120,Premissas!$B$15*12)),(A102-1)+(-F101)/E102,"")</f>
        <v/>
      </c>
      <c r="H102" s="9" t="n">
        <f aca="false">Resultados!$E$38*$B102-Resultados!$F$38*$B102-Premissas!$B$24-Resultados!$E$38*$B102*(Premissas!$B$14/100)</f>
        <v>24432.4</v>
      </c>
      <c r="I102" s="9" t="n">
        <f aca="false">H102-$C102</f>
        <v>24432.4</v>
      </c>
      <c r="J102" s="9" t="n">
        <f aca="false">J101+I102</f>
        <v>1986934.28</v>
      </c>
      <c r="K102" s="37" t="str">
        <f aca="false">IF(AND(J101&lt;0,J102&gt;=0,A102&lt;=MAX(120,Premissas!$B$15*12)),(A102-1)+(-J101)/I102,"")</f>
        <v/>
      </c>
      <c r="L102" s="9" t="n">
        <f aca="false">Resultados!$E$39*$B102-Resultados!$F$39*$B102-Premissas!$B$24-Resultados!$E$39*$B102*(Premissas!$B$14/100)</f>
        <v>29837.8</v>
      </c>
      <c r="M102" s="9" t="n">
        <f aca="false">L102-$C102</f>
        <v>29837.8</v>
      </c>
      <c r="N102" s="9" t="n">
        <f aca="false">N101+M102</f>
        <v>2498825.66</v>
      </c>
      <c r="O102" s="37" t="str">
        <f aca="false">IF(AND(N101&lt;0,N102&gt;=0,A102&lt;=MAX(120,Premissas!$B$15*12)),(A102-1)+(-N101)/M102,"")</f>
        <v/>
      </c>
      <c r="P102" s="9" t="n">
        <f aca="false">Resultados!$B$19*$B102-Resultados!$B$20*$B102-Premissas!$B$24-Resultados!$B$19*$B102*(Premissas!$B$14/100)</f>
        <v>24432.4</v>
      </c>
      <c r="Q102" s="9" t="n">
        <f aca="false">P102-$C102</f>
        <v>24432.4</v>
      </c>
      <c r="R102" s="9" t="n">
        <f aca="false">R101+Q102</f>
        <v>1986934.28</v>
      </c>
      <c r="S102" s="37" t="str">
        <f aca="false">IF(AND(R101&lt;0,R102&gt;=0,A102&lt;=MAX(120,Premissas!$B$15*12)),(A102-1)+(-R101)/Q102,"")</f>
        <v/>
      </c>
    </row>
    <row r="103" customFormat="false" ht="15" hidden="false" customHeight="false" outlineLevel="0" collapsed="false">
      <c r="A103" s="10" t="n">
        <f aca="false">A102+1</f>
        <v>99</v>
      </c>
      <c r="B103" s="36" t="n">
        <f aca="false">IF(Premissas!$B$9&lt;=1,1,MIN(1,Premissas!$B$8/100+(1-Premissas!$B$8/100)*(A103-1)/(Premissas!$B$9-1)))</f>
        <v>1</v>
      </c>
      <c r="C103" s="9" t="n">
        <f aca="false">IF(A103&lt;=Resultados!$B$9,Resultados!$B$10,0)</f>
        <v>0</v>
      </c>
      <c r="D103" s="9" t="n">
        <f aca="false">Resultados!$E$37*$B103-Resultados!$F$37*$B103-Premissas!$B$24-Resultados!$E$37*$B103*(Premissas!$B$14/100)</f>
        <v>19027</v>
      </c>
      <c r="E103" s="9" t="n">
        <f aca="false">D103-$C103</f>
        <v>19027</v>
      </c>
      <c r="F103" s="9" t="n">
        <f aca="false">F102+E103</f>
        <v>1494069.9</v>
      </c>
      <c r="G103" s="37" t="str">
        <f aca="false">IF(AND(F102&lt;0,F103&gt;=0,A103&lt;=MAX(120,Premissas!$B$15*12)),(A103-1)+(-F102)/E103,"")</f>
        <v/>
      </c>
      <c r="H103" s="9" t="n">
        <f aca="false">Resultados!$E$38*$B103-Resultados!$F$38*$B103-Premissas!$B$24-Resultados!$E$38*$B103*(Premissas!$B$14/100)</f>
        <v>24432.4</v>
      </c>
      <c r="I103" s="9" t="n">
        <f aca="false">H103-$C103</f>
        <v>24432.4</v>
      </c>
      <c r="J103" s="9" t="n">
        <f aca="false">J102+I103</f>
        <v>2011366.68</v>
      </c>
      <c r="K103" s="37" t="str">
        <f aca="false">IF(AND(J102&lt;0,J103&gt;=0,A103&lt;=MAX(120,Premissas!$B$15*12)),(A103-1)+(-J102)/I103,"")</f>
        <v/>
      </c>
      <c r="L103" s="9" t="n">
        <f aca="false">Resultados!$E$39*$B103-Resultados!$F$39*$B103-Premissas!$B$24-Resultados!$E$39*$B103*(Premissas!$B$14/100)</f>
        <v>29837.8</v>
      </c>
      <c r="M103" s="9" t="n">
        <f aca="false">L103-$C103</f>
        <v>29837.8</v>
      </c>
      <c r="N103" s="9" t="n">
        <f aca="false">N102+M103</f>
        <v>2528663.46</v>
      </c>
      <c r="O103" s="37" t="str">
        <f aca="false">IF(AND(N102&lt;0,N103&gt;=0,A103&lt;=MAX(120,Premissas!$B$15*12)),(A103-1)+(-N102)/M103,"")</f>
        <v/>
      </c>
      <c r="P103" s="9" t="n">
        <f aca="false">Resultados!$B$19*$B103-Resultados!$B$20*$B103-Premissas!$B$24-Resultados!$B$19*$B103*(Premissas!$B$14/100)</f>
        <v>24432.4</v>
      </c>
      <c r="Q103" s="9" t="n">
        <f aca="false">P103-$C103</f>
        <v>24432.4</v>
      </c>
      <c r="R103" s="9" t="n">
        <f aca="false">R102+Q103</f>
        <v>2011366.68</v>
      </c>
      <c r="S103" s="37" t="str">
        <f aca="false">IF(AND(R102&lt;0,R103&gt;=0,A103&lt;=MAX(120,Premissas!$B$15*12)),(A103-1)+(-R102)/Q103,"")</f>
        <v/>
      </c>
    </row>
    <row r="104" customFormat="false" ht="15" hidden="false" customHeight="false" outlineLevel="0" collapsed="false">
      <c r="A104" s="10" t="n">
        <f aca="false">A103+1</f>
        <v>100</v>
      </c>
      <c r="B104" s="36" t="n">
        <f aca="false">IF(Premissas!$B$9&lt;=1,1,MIN(1,Premissas!$B$8/100+(1-Premissas!$B$8/100)*(A104-1)/(Premissas!$B$9-1)))</f>
        <v>1</v>
      </c>
      <c r="C104" s="9" t="n">
        <f aca="false">IF(A104&lt;=Resultados!$B$9,Resultados!$B$10,0)</f>
        <v>0</v>
      </c>
      <c r="D104" s="9" t="n">
        <f aca="false">Resultados!$E$37*$B104-Resultados!$F$37*$B104-Premissas!$B$24-Resultados!$E$37*$B104*(Premissas!$B$14/100)</f>
        <v>19027</v>
      </c>
      <c r="E104" s="9" t="n">
        <f aca="false">D104-$C104</f>
        <v>19027</v>
      </c>
      <c r="F104" s="9" t="n">
        <f aca="false">F103+E104</f>
        <v>1513096.9</v>
      </c>
      <c r="G104" s="37" t="str">
        <f aca="false">IF(AND(F103&lt;0,F104&gt;=0,A104&lt;=MAX(120,Premissas!$B$15*12)),(A104-1)+(-F103)/E104,"")</f>
        <v/>
      </c>
      <c r="H104" s="9" t="n">
        <f aca="false">Resultados!$E$38*$B104-Resultados!$F$38*$B104-Premissas!$B$24-Resultados!$E$38*$B104*(Premissas!$B$14/100)</f>
        <v>24432.4</v>
      </c>
      <c r="I104" s="9" t="n">
        <f aca="false">H104-$C104</f>
        <v>24432.4</v>
      </c>
      <c r="J104" s="9" t="n">
        <f aca="false">J103+I104</f>
        <v>2035799.08</v>
      </c>
      <c r="K104" s="37" t="str">
        <f aca="false">IF(AND(J103&lt;0,J104&gt;=0,A104&lt;=MAX(120,Premissas!$B$15*12)),(A104-1)+(-J103)/I104,"")</f>
        <v/>
      </c>
      <c r="L104" s="9" t="n">
        <f aca="false">Resultados!$E$39*$B104-Resultados!$F$39*$B104-Premissas!$B$24-Resultados!$E$39*$B104*(Premissas!$B$14/100)</f>
        <v>29837.8</v>
      </c>
      <c r="M104" s="9" t="n">
        <f aca="false">L104-$C104</f>
        <v>29837.8</v>
      </c>
      <c r="N104" s="9" t="n">
        <f aca="false">N103+M104</f>
        <v>2558501.26</v>
      </c>
      <c r="O104" s="37" t="str">
        <f aca="false">IF(AND(N103&lt;0,N104&gt;=0,A104&lt;=MAX(120,Premissas!$B$15*12)),(A104-1)+(-N103)/M104,"")</f>
        <v/>
      </c>
      <c r="P104" s="9" t="n">
        <f aca="false">Resultados!$B$19*$B104-Resultados!$B$20*$B104-Premissas!$B$24-Resultados!$B$19*$B104*(Premissas!$B$14/100)</f>
        <v>24432.4</v>
      </c>
      <c r="Q104" s="9" t="n">
        <f aca="false">P104-$C104</f>
        <v>24432.4</v>
      </c>
      <c r="R104" s="9" t="n">
        <f aca="false">R103+Q104</f>
        <v>2035799.08</v>
      </c>
      <c r="S104" s="37" t="str">
        <f aca="false">IF(AND(R103&lt;0,R104&gt;=0,A104&lt;=MAX(120,Premissas!$B$15*12)),(A104-1)+(-R103)/Q104,"")</f>
        <v/>
      </c>
    </row>
    <row r="105" customFormat="false" ht="15" hidden="false" customHeight="false" outlineLevel="0" collapsed="false">
      <c r="A105" s="10" t="n">
        <f aca="false">A104+1</f>
        <v>101</v>
      </c>
      <c r="B105" s="36" t="n">
        <f aca="false">IF(Premissas!$B$9&lt;=1,1,MIN(1,Premissas!$B$8/100+(1-Premissas!$B$8/100)*(A105-1)/(Premissas!$B$9-1)))</f>
        <v>1</v>
      </c>
      <c r="C105" s="9" t="n">
        <f aca="false">IF(A105&lt;=Resultados!$B$9,Resultados!$B$10,0)</f>
        <v>0</v>
      </c>
      <c r="D105" s="9" t="n">
        <f aca="false">Resultados!$E$37*$B105-Resultados!$F$37*$B105-Premissas!$B$24-Resultados!$E$37*$B105*(Premissas!$B$14/100)</f>
        <v>19027</v>
      </c>
      <c r="E105" s="9" t="n">
        <f aca="false">D105-$C105</f>
        <v>19027</v>
      </c>
      <c r="F105" s="9" t="n">
        <f aca="false">F104+E105</f>
        <v>1532123.9</v>
      </c>
      <c r="G105" s="37" t="str">
        <f aca="false">IF(AND(F104&lt;0,F105&gt;=0,A105&lt;=MAX(120,Premissas!$B$15*12)),(A105-1)+(-F104)/E105,"")</f>
        <v/>
      </c>
      <c r="H105" s="9" t="n">
        <f aca="false">Resultados!$E$38*$B105-Resultados!$F$38*$B105-Premissas!$B$24-Resultados!$E$38*$B105*(Premissas!$B$14/100)</f>
        <v>24432.4</v>
      </c>
      <c r="I105" s="9" t="n">
        <f aca="false">H105-$C105</f>
        <v>24432.4</v>
      </c>
      <c r="J105" s="9" t="n">
        <f aca="false">J104+I105</f>
        <v>2060231.48</v>
      </c>
      <c r="K105" s="37" t="str">
        <f aca="false">IF(AND(J104&lt;0,J105&gt;=0,A105&lt;=MAX(120,Premissas!$B$15*12)),(A105-1)+(-J104)/I105,"")</f>
        <v/>
      </c>
      <c r="L105" s="9" t="n">
        <f aca="false">Resultados!$E$39*$B105-Resultados!$F$39*$B105-Premissas!$B$24-Resultados!$E$39*$B105*(Premissas!$B$14/100)</f>
        <v>29837.8</v>
      </c>
      <c r="M105" s="9" t="n">
        <f aca="false">L105-$C105</f>
        <v>29837.8</v>
      </c>
      <c r="N105" s="9" t="n">
        <f aca="false">N104+M105</f>
        <v>2588339.06</v>
      </c>
      <c r="O105" s="37" t="str">
        <f aca="false">IF(AND(N104&lt;0,N105&gt;=0,A105&lt;=MAX(120,Premissas!$B$15*12)),(A105-1)+(-N104)/M105,"")</f>
        <v/>
      </c>
      <c r="P105" s="9" t="n">
        <f aca="false">Resultados!$B$19*$B105-Resultados!$B$20*$B105-Premissas!$B$24-Resultados!$B$19*$B105*(Premissas!$B$14/100)</f>
        <v>24432.4</v>
      </c>
      <c r="Q105" s="9" t="n">
        <f aca="false">P105-$C105</f>
        <v>24432.4</v>
      </c>
      <c r="R105" s="9" t="n">
        <f aca="false">R104+Q105</f>
        <v>2060231.48</v>
      </c>
      <c r="S105" s="37" t="str">
        <f aca="false">IF(AND(R104&lt;0,R105&gt;=0,A105&lt;=MAX(120,Premissas!$B$15*12)),(A105-1)+(-R104)/Q105,"")</f>
        <v/>
      </c>
    </row>
    <row r="106" customFormat="false" ht="15" hidden="false" customHeight="false" outlineLevel="0" collapsed="false">
      <c r="A106" s="10" t="n">
        <f aca="false">A105+1</f>
        <v>102</v>
      </c>
      <c r="B106" s="36" t="n">
        <f aca="false">IF(Premissas!$B$9&lt;=1,1,MIN(1,Premissas!$B$8/100+(1-Premissas!$B$8/100)*(A106-1)/(Premissas!$B$9-1)))</f>
        <v>1</v>
      </c>
      <c r="C106" s="9" t="n">
        <f aca="false">IF(A106&lt;=Resultados!$B$9,Resultados!$B$10,0)</f>
        <v>0</v>
      </c>
      <c r="D106" s="9" t="n">
        <f aca="false">Resultados!$E$37*$B106-Resultados!$F$37*$B106-Premissas!$B$24-Resultados!$E$37*$B106*(Premissas!$B$14/100)</f>
        <v>19027</v>
      </c>
      <c r="E106" s="9" t="n">
        <f aca="false">D106-$C106</f>
        <v>19027</v>
      </c>
      <c r="F106" s="9" t="n">
        <f aca="false">F105+E106</f>
        <v>1551150.9</v>
      </c>
      <c r="G106" s="37" t="str">
        <f aca="false">IF(AND(F105&lt;0,F106&gt;=0,A106&lt;=MAX(120,Premissas!$B$15*12)),(A106-1)+(-F105)/E106,"")</f>
        <v/>
      </c>
      <c r="H106" s="9" t="n">
        <f aca="false">Resultados!$E$38*$B106-Resultados!$F$38*$B106-Premissas!$B$24-Resultados!$E$38*$B106*(Premissas!$B$14/100)</f>
        <v>24432.4</v>
      </c>
      <c r="I106" s="9" t="n">
        <f aca="false">H106-$C106</f>
        <v>24432.4</v>
      </c>
      <c r="J106" s="9" t="n">
        <f aca="false">J105+I106</f>
        <v>2084663.88</v>
      </c>
      <c r="K106" s="37" t="str">
        <f aca="false">IF(AND(J105&lt;0,J106&gt;=0,A106&lt;=MAX(120,Premissas!$B$15*12)),(A106-1)+(-J105)/I106,"")</f>
        <v/>
      </c>
      <c r="L106" s="9" t="n">
        <f aca="false">Resultados!$E$39*$B106-Resultados!$F$39*$B106-Premissas!$B$24-Resultados!$E$39*$B106*(Premissas!$B$14/100)</f>
        <v>29837.8</v>
      </c>
      <c r="M106" s="9" t="n">
        <f aca="false">L106-$C106</f>
        <v>29837.8</v>
      </c>
      <c r="N106" s="9" t="n">
        <f aca="false">N105+M106</f>
        <v>2618176.86</v>
      </c>
      <c r="O106" s="37" t="str">
        <f aca="false">IF(AND(N105&lt;0,N106&gt;=0,A106&lt;=MAX(120,Premissas!$B$15*12)),(A106-1)+(-N105)/M106,"")</f>
        <v/>
      </c>
      <c r="P106" s="9" t="n">
        <f aca="false">Resultados!$B$19*$B106-Resultados!$B$20*$B106-Premissas!$B$24-Resultados!$B$19*$B106*(Premissas!$B$14/100)</f>
        <v>24432.4</v>
      </c>
      <c r="Q106" s="9" t="n">
        <f aca="false">P106-$C106</f>
        <v>24432.4</v>
      </c>
      <c r="R106" s="9" t="n">
        <f aca="false">R105+Q106</f>
        <v>2084663.88</v>
      </c>
      <c r="S106" s="37" t="str">
        <f aca="false">IF(AND(R105&lt;0,R106&gt;=0,A106&lt;=MAX(120,Premissas!$B$15*12)),(A106-1)+(-R105)/Q106,"")</f>
        <v/>
      </c>
    </row>
    <row r="107" customFormat="false" ht="15" hidden="false" customHeight="false" outlineLevel="0" collapsed="false">
      <c r="A107" s="10" t="n">
        <f aca="false">A106+1</f>
        <v>103</v>
      </c>
      <c r="B107" s="36" t="n">
        <f aca="false">IF(Premissas!$B$9&lt;=1,1,MIN(1,Premissas!$B$8/100+(1-Premissas!$B$8/100)*(A107-1)/(Premissas!$B$9-1)))</f>
        <v>1</v>
      </c>
      <c r="C107" s="9" t="n">
        <f aca="false">IF(A107&lt;=Resultados!$B$9,Resultados!$B$10,0)</f>
        <v>0</v>
      </c>
      <c r="D107" s="9" t="n">
        <f aca="false">Resultados!$E$37*$B107-Resultados!$F$37*$B107-Premissas!$B$24-Resultados!$E$37*$B107*(Premissas!$B$14/100)</f>
        <v>19027</v>
      </c>
      <c r="E107" s="9" t="n">
        <f aca="false">D107-$C107</f>
        <v>19027</v>
      </c>
      <c r="F107" s="9" t="n">
        <f aca="false">F106+E107</f>
        <v>1570177.9</v>
      </c>
      <c r="G107" s="37" t="str">
        <f aca="false">IF(AND(F106&lt;0,F107&gt;=0,A107&lt;=MAX(120,Premissas!$B$15*12)),(A107-1)+(-F106)/E107,"")</f>
        <v/>
      </c>
      <c r="H107" s="9" t="n">
        <f aca="false">Resultados!$E$38*$B107-Resultados!$F$38*$B107-Premissas!$B$24-Resultados!$E$38*$B107*(Premissas!$B$14/100)</f>
        <v>24432.4</v>
      </c>
      <c r="I107" s="9" t="n">
        <f aca="false">H107-$C107</f>
        <v>24432.4</v>
      </c>
      <c r="J107" s="9" t="n">
        <f aca="false">J106+I107</f>
        <v>2109096.28</v>
      </c>
      <c r="K107" s="37" t="str">
        <f aca="false">IF(AND(J106&lt;0,J107&gt;=0,A107&lt;=MAX(120,Premissas!$B$15*12)),(A107-1)+(-J106)/I107,"")</f>
        <v/>
      </c>
      <c r="L107" s="9" t="n">
        <f aca="false">Resultados!$E$39*$B107-Resultados!$F$39*$B107-Premissas!$B$24-Resultados!$E$39*$B107*(Premissas!$B$14/100)</f>
        <v>29837.8</v>
      </c>
      <c r="M107" s="9" t="n">
        <f aca="false">L107-$C107</f>
        <v>29837.8</v>
      </c>
      <c r="N107" s="9" t="n">
        <f aca="false">N106+M107</f>
        <v>2648014.66</v>
      </c>
      <c r="O107" s="37" t="str">
        <f aca="false">IF(AND(N106&lt;0,N107&gt;=0,A107&lt;=MAX(120,Premissas!$B$15*12)),(A107-1)+(-N106)/M107,"")</f>
        <v/>
      </c>
      <c r="P107" s="9" t="n">
        <f aca="false">Resultados!$B$19*$B107-Resultados!$B$20*$B107-Premissas!$B$24-Resultados!$B$19*$B107*(Premissas!$B$14/100)</f>
        <v>24432.4</v>
      </c>
      <c r="Q107" s="9" t="n">
        <f aca="false">P107-$C107</f>
        <v>24432.4</v>
      </c>
      <c r="R107" s="9" t="n">
        <f aca="false">R106+Q107</f>
        <v>2109096.28</v>
      </c>
      <c r="S107" s="37" t="str">
        <f aca="false">IF(AND(R106&lt;0,R107&gt;=0,A107&lt;=MAX(120,Premissas!$B$15*12)),(A107-1)+(-R106)/Q107,"")</f>
        <v/>
      </c>
    </row>
    <row r="108" customFormat="false" ht="15" hidden="false" customHeight="false" outlineLevel="0" collapsed="false">
      <c r="A108" s="10" t="n">
        <f aca="false">A107+1</f>
        <v>104</v>
      </c>
      <c r="B108" s="36" t="n">
        <f aca="false">IF(Premissas!$B$9&lt;=1,1,MIN(1,Premissas!$B$8/100+(1-Premissas!$B$8/100)*(A108-1)/(Premissas!$B$9-1)))</f>
        <v>1</v>
      </c>
      <c r="C108" s="9" t="n">
        <f aca="false">IF(A108&lt;=Resultados!$B$9,Resultados!$B$10,0)</f>
        <v>0</v>
      </c>
      <c r="D108" s="9" t="n">
        <f aca="false">Resultados!$E$37*$B108-Resultados!$F$37*$B108-Premissas!$B$24-Resultados!$E$37*$B108*(Premissas!$B$14/100)</f>
        <v>19027</v>
      </c>
      <c r="E108" s="9" t="n">
        <f aca="false">D108-$C108</f>
        <v>19027</v>
      </c>
      <c r="F108" s="9" t="n">
        <f aca="false">F107+E108</f>
        <v>1589204.9</v>
      </c>
      <c r="G108" s="37" t="str">
        <f aca="false">IF(AND(F107&lt;0,F108&gt;=0,A108&lt;=MAX(120,Premissas!$B$15*12)),(A108-1)+(-F107)/E108,"")</f>
        <v/>
      </c>
      <c r="H108" s="9" t="n">
        <f aca="false">Resultados!$E$38*$B108-Resultados!$F$38*$B108-Premissas!$B$24-Resultados!$E$38*$B108*(Premissas!$B$14/100)</f>
        <v>24432.4</v>
      </c>
      <c r="I108" s="9" t="n">
        <f aca="false">H108-$C108</f>
        <v>24432.4</v>
      </c>
      <c r="J108" s="9" t="n">
        <f aca="false">J107+I108</f>
        <v>2133528.68</v>
      </c>
      <c r="K108" s="37" t="str">
        <f aca="false">IF(AND(J107&lt;0,J108&gt;=0,A108&lt;=MAX(120,Premissas!$B$15*12)),(A108-1)+(-J107)/I108,"")</f>
        <v/>
      </c>
      <c r="L108" s="9" t="n">
        <f aca="false">Resultados!$E$39*$B108-Resultados!$F$39*$B108-Premissas!$B$24-Resultados!$E$39*$B108*(Premissas!$B$14/100)</f>
        <v>29837.8</v>
      </c>
      <c r="M108" s="9" t="n">
        <f aca="false">L108-$C108</f>
        <v>29837.8</v>
      </c>
      <c r="N108" s="9" t="n">
        <f aca="false">N107+M108</f>
        <v>2677852.46</v>
      </c>
      <c r="O108" s="37" t="str">
        <f aca="false">IF(AND(N107&lt;0,N108&gt;=0,A108&lt;=MAX(120,Premissas!$B$15*12)),(A108-1)+(-N107)/M108,"")</f>
        <v/>
      </c>
      <c r="P108" s="9" t="n">
        <f aca="false">Resultados!$B$19*$B108-Resultados!$B$20*$B108-Premissas!$B$24-Resultados!$B$19*$B108*(Premissas!$B$14/100)</f>
        <v>24432.4</v>
      </c>
      <c r="Q108" s="9" t="n">
        <f aca="false">P108-$C108</f>
        <v>24432.4</v>
      </c>
      <c r="R108" s="9" t="n">
        <f aca="false">R107+Q108</f>
        <v>2133528.68</v>
      </c>
      <c r="S108" s="37" t="str">
        <f aca="false">IF(AND(R107&lt;0,R108&gt;=0,A108&lt;=MAX(120,Premissas!$B$15*12)),(A108-1)+(-R107)/Q108,"")</f>
        <v/>
      </c>
    </row>
    <row r="109" customFormat="false" ht="15" hidden="false" customHeight="false" outlineLevel="0" collapsed="false">
      <c r="A109" s="10" t="n">
        <f aca="false">A108+1</f>
        <v>105</v>
      </c>
      <c r="B109" s="36" t="n">
        <f aca="false">IF(Premissas!$B$9&lt;=1,1,MIN(1,Premissas!$B$8/100+(1-Premissas!$B$8/100)*(A109-1)/(Premissas!$B$9-1)))</f>
        <v>1</v>
      </c>
      <c r="C109" s="9" t="n">
        <f aca="false">IF(A109&lt;=Resultados!$B$9,Resultados!$B$10,0)</f>
        <v>0</v>
      </c>
      <c r="D109" s="9" t="n">
        <f aca="false">Resultados!$E$37*$B109-Resultados!$F$37*$B109-Premissas!$B$24-Resultados!$E$37*$B109*(Premissas!$B$14/100)</f>
        <v>19027</v>
      </c>
      <c r="E109" s="9" t="n">
        <f aca="false">D109-$C109</f>
        <v>19027</v>
      </c>
      <c r="F109" s="9" t="n">
        <f aca="false">F108+E109</f>
        <v>1608231.9</v>
      </c>
      <c r="G109" s="37" t="str">
        <f aca="false">IF(AND(F108&lt;0,F109&gt;=0,A109&lt;=MAX(120,Premissas!$B$15*12)),(A109-1)+(-F108)/E109,"")</f>
        <v/>
      </c>
      <c r="H109" s="9" t="n">
        <f aca="false">Resultados!$E$38*$B109-Resultados!$F$38*$B109-Premissas!$B$24-Resultados!$E$38*$B109*(Premissas!$B$14/100)</f>
        <v>24432.4</v>
      </c>
      <c r="I109" s="9" t="n">
        <f aca="false">H109-$C109</f>
        <v>24432.4</v>
      </c>
      <c r="J109" s="9" t="n">
        <f aca="false">J108+I109</f>
        <v>2157961.08</v>
      </c>
      <c r="K109" s="37" t="str">
        <f aca="false">IF(AND(J108&lt;0,J109&gt;=0,A109&lt;=MAX(120,Premissas!$B$15*12)),(A109-1)+(-J108)/I109,"")</f>
        <v/>
      </c>
      <c r="L109" s="9" t="n">
        <f aca="false">Resultados!$E$39*$B109-Resultados!$F$39*$B109-Premissas!$B$24-Resultados!$E$39*$B109*(Premissas!$B$14/100)</f>
        <v>29837.8</v>
      </c>
      <c r="M109" s="9" t="n">
        <f aca="false">L109-$C109</f>
        <v>29837.8</v>
      </c>
      <c r="N109" s="9" t="n">
        <f aca="false">N108+M109</f>
        <v>2707690.26</v>
      </c>
      <c r="O109" s="37" t="str">
        <f aca="false">IF(AND(N108&lt;0,N109&gt;=0,A109&lt;=MAX(120,Premissas!$B$15*12)),(A109-1)+(-N108)/M109,"")</f>
        <v/>
      </c>
      <c r="P109" s="9" t="n">
        <f aca="false">Resultados!$B$19*$B109-Resultados!$B$20*$B109-Premissas!$B$24-Resultados!$B$19*$B109*(Premissas!$B$14/100)</f>
        <v>24432.4</v>
      </c>
      <c r="Q109" s="9" t="n">
        <f aca="false">P109-$C109</f>
        <v>24432.4</v>
      </c>
      <c r="R109" s="9" t="n">
        <f aca="false">R108+Q109</f>
        <v>2157961.08</v>
      </c>
      <c r="S109" s="37" t="str">
        <f aca="false">IF(AND(R108&lt;0,R109&gt;=0,A109&lt;=MAX(120,Premissas!$B$15*12)),(A109-1)+(-R108)/Q109,"")</f>
        <v/>
      </c>
    </row>
    <row r="110" customFormat="false" ht="15" hidden="false" customHeight="false" outlineLevel="0" collapsed="false">
      <c r="A110" s="10" t="n">
        <f aca="false">A109+1</f>
        <v>106</v>
      </c>
      <c r="B110" s="36" t="n">
        <f aca="false">IF(Premissas!$B$9&lt;=1,1,MIN(1,Premissas!$B$8/100+(1-Premissas!$B$8/100)*(A110-1)/(Premissas!$B$9-1)))</f>
        <v>1</v>
      </c>
      <c r="C110" s="9" t="n">
        <f aca="false">IF(A110&lt;=Resultados!$B$9,Resultados!$B$10,0)</f>
        <v>0</v>
      </c>
      <c r="D110" s="9" t="n">
        <f aca="false">Resultados!$E$37*$B110-Resultados!$F$37*$B110-Premissas!$B$24-Resultados!$E$37*$B110*(Premissas!$B$14/100)</f>
        <v>19027</v>
      </c>
      <c r="E110" s="9" t="n">
        <f aca="false">D110-$C110</f>
        <v>19027</v>
      </c>
      <c r="F110" s="9" t="n">
        <f aca="false">F109+E110</f>
        <v>1627258.9</v>
      </c>
      <c r="G110" s="37" t="str">
        <f aca="false">IF(AND(F109&lt;0,F110&gt;=0,A110&lt;=MAX(120,Premissas!$B$15*12)),(A110-1)+(-F109)/E110,"")</f>
        <v/>
      </c>
      <c r="H110" s="9" t="n">
        <f aca="false">Resultados!$E$38*$B110-Resultados!$F$38*$B110-Premissas!$B$24-Resultados!$E$38*$B110*(Premissas!$B$14/100)</f>
        <v>24432.4</v>
      </c>
      <c r="I110" s="9" t="n">
        <f aca="false">H110-$C110</f>
        <v>24432.4</v>
      </c>
      <c r="J110" s="9" t="n">
        <f aca="false">J109+I110</f>
        <v>2182393.48</v>
      </c>
      <c r="K110" s="37" t="str">
        <f aca="false">IF(AND(J109&lt;0,J110&gt;=0,A110&lt;=MAX(120,Premissas!$B$15*12)),(A110-1)+(-J109)/I110,"")</f>
        <v/>
      </c>
      <c r="L110" s="9" t="n">
        <f aca="false">Resultados!$E$39*$B110-Resultados!$F$39*$B110-Premissas!$B$24-Resultados!$E$39*$B110*(Premissas!$B$14/100)</f>
        <v>29837.8</v>
      </c>
      <c r="M110" s="9" t="n">
        <f aca="false">L110-$C110</f>
        <v>29837.8</v>
      </c>
      <c r="N110" s="9" t="n">
        <f aca="false">N109+M110</f>
        <v>2737528.06</v>
      </c>
      <c r="O110" s="37" t="str">
        <f aca="false">IF(AND(N109&lt;0,N110&gt;=0,A110&lt;=MAX(120,Premissas!$B$15*12)),(A110-1)+(-N109)/M110,"")</f>
        <v/>
      </c>
      <c r="P110" s="9" t="n">
        <f aca="false">Resultados!$B$19*$B110-Resultados!$B$20*$B110-Premissas!$B$24-Resultados!$B$19*$B110*(Premissas!$B$14/100)</f>
        <v>24432.4</v>
      </c>
      <c r="Q110" s="9" t="n">
        <f aca="false">P110-$C110</f>
        <v>24432.4</v>
      </c>
      <c r="R110" s="9" t="n">
        <f aca="false">R109+Q110</f>
        <v>2182393.48</v>
      </c>
      <c r="S110" s="37" t="str">
        <f aca="false">IF(AND(R109&lt;0,R110&gt;=0,A110&lt;=MAX(120,Premissas!$B$15*12)),(A110-1)+(-R109)/Q110,"")</f>
        <v/>
      </c>
    </row>
    <row r="111" customFormat="false" ht="15" hidden="false" customHeight="false" outlineLevel="0" collapsed="false">
      <c r="A111" s="10" t="n">
        <f aca="false">A110+1</f>
        <v>107</v>
      </c>
      <c r="B111" s="36" t="n">
        <f aca="false">IF(Premissas!$B$9&lt;=1,1,MIN(1,Premissas!$B$8/100+(1-Premissas!$B$8/100)*(A111-1)/(Premissas!$B$9-1)))</f>
        <v>1</v>
      </c>
      <c r="C111" s="9" t="n">
        <f aca="false">IF(A111&lt;=Resultados!$B$9,Resultados!$B$10,0)</f>
        <v>0</v>
      </c>
      <c r="D111" s="9" t="n">
        <f aca="false">Resultados!$E$37*$B111-Resultados!$F$37*$B111-Premissas!$B$24-Resultados!$E$37*$B111*(Premissas!$B$14/100)</f>
        <v>19027</v>
      </c>
      <c r="E111" s="9" t="n">
        <f aca="false">D111-$C111</f>
        <v>19027</v>
      </c>
      <c r="F111" s="9" t="n">
        <f aca="false">F110+E111</f>
        <v>1646285.9</v>
      </c>
      <c r="G111" s="37" t="str">
        <f aca="false">IF(AND(F110&lt;0,F111&gt;=0,A111&lt;=MAX(120,Premissas!$B$15*12)),(A111-1)+(-F110)/E111,"")</f>
        <v/>
      </c>
      <c r="H111" s="9" t="n">
        <f aca="false">Resultados!$E$38*$B111-Resultados!$F$38*$B111-Premissas!$B$24-Resultados!$E$38*$B111*(Premissas!$B$14/100)</f>
        <v>24432.4</v>
      </c>
      <c r="I111" s="9" t="n">
        <f aca="false">H111-$C111</f>
        <v>24432.4</v>
      </c>
      <c r="J111" s="9" t="n">
        <f aca="false">J110+I111</f>
        <v>2206825.88</v>
      </c>
      <c r="K111" s="37" t="str">
        <f aca="false">IF(AND(J110&lt;0,J111&gt;=0,A111&lt;=MAX(120,Premissas!$B$15*12)),(A111-1)+(-J110)/I111,"")</f>
        <v/>
      </c>
      <c r="L111" s="9" t="n">
        <f aca="false">Resultados!$E$39*$B111-Resultados!$F$39*$B111-Premissas!$B$24-Resultados!$E$39*$B111*(Premissas!$B$14/100)</f>
        <v>29837.8</v>
      </c>
      <c r="M111" s="9" t="n">
        <f aca="false">L111-$C111</f>
        <v>29837.8</v>
      </c>
      <c r="N111" s="9" t="n">
        <f aca="false">N110+M111</f>
        <v>2767365.86</v>
      </c>
      <c r="O111" s="37" t="str">
        <f aca="false">IF(AND(N110&lt;0,N111&gt;=0,A111&lt;=MAX(120,Premissas!$B$15*12)),(A111-1)+(-N110)/M111,"")</f>
        <v/>
      </c>
      <c r="P111" s="9" t="n">
        <f aca="false">Resultados!$B$19*$B111-Resultados!$B$20*$B111-Premissas!$B$24-Resultados!$B$19*$B111*(Premissas!$B$14/100)</f>
        <v>24432.4</v>
      </c>
      <c r="Q111" s="9" t="n">
        <f aca="false">P111-$C111</f>
        <v>24432.4</v>
      </c>
      <c r="R111" s="9" t="n">
        <f aca="false">R110+Q111</f>
        <v>2206825.88</v>
      </c>
      <c r="S111" s="37" t="str">
        <f aca="false">IF(AND(R110&lt;0,R111&gt;=0,A111&lt;=MAX(120,Premissas!$B$15*12)),(A111-1)+(-R110)/Q111,"")</f>
        <v/>
      </c>
    </row>
    <row r="112" customFormat="false" ht="15" hidden="false" customHeight="false" outlineLevel="0" collapsed="false">
      <c r="A112" s="10" t="n">
        <f aca="false">A111+1</f>
        <v>108</v>
      </c>
      <c r="B112" s="36" t="n">
        <f aca="false">IF(Premissas!$B$9&lt;=1,1,MIN(1,Premissas!$B$8/100+(1-Premissas!$B$8/100)*(A112-1)/(Premissas!$B$9-1)))</f>
        <v>1</v>
      </c>
      <c r="C112" s="9" t="n">
        <f aca="false">IF(A112&lt;=Resultados!$B$9,Resultados!$B$10,0)</f>
        <v>0</v>
      </c>
      <c r="D112" s="9" t="n">
        <f aca="false">Resultados!$E$37*$B112-Resultados!$F$37*$B112-Premissas!$B$24-Resultados!$E$37*$B112*(Premissas!$B$14/100)</f>
        <v>19027</v>
      </c>
      <c r="E112" s="9" t="n">
        <f aca="false">D112-$C112</f>
        <v>19027</v>
      </c>
      <c r="F112" s="9" t="n">
        <f aca="false">F111+E112</f>
        <v>1665312.9</v>
      </c>
      <c r="G112" s="37" t="str">
        <f aca="false">IF(AND(F111&lt;0,F112&gt;=0,A112&lt;=MAX(120,Premissas!$B$15*12)),(A112-1)+(-F111)/E112,"")</f>
        <v/>
      </c>
      <c r="H112" s="9" t="n">
        <f aca="false">Resultados!$E$38*$B112-Resultados!$F$38*$B112-Premissas!$B$24-Resultados!$E$38*$B112*(Premissas!$B$14/100)</f>
        <v>24432.4</v>
      </c>
      <c r="I112" s="9" t="n">
        <f aca="false">H112-$C112</f>
        <v>24432.4</v>
      </c>
      <c r="J112" s="9" t="n">
        <f aca="false">J111+I112</f>
        <v>2231258.28</v>
      </c>
      <c r="K112" s="37" t="str">
        <f aca="false">IF(AND(J111&lt;0,J112&gt;=0,A112&lt;=MAX(120,Premissas!$B$15*12)),(A112-1)+(-J111)/I112,"")</f>
        <v/>
      </c>
      <c r="L112" s="9" t="n">
        <f aca="false">Resultados!$E$39*$B112-Resultados!$F$39*$B112-Premissas!$B$24-Resultados!$E$39*$B112*(Premissas!$B$14/100)</f>
        <v>29837.8</v>
      </c>
      <c r="M112" s="9" t="n">
        <f aca="false">L112-$C112</f>
        <v>29837.8</v>
      </c>
      <c r="N112" s="9" t="n">
        <f aca="false">N111+M112</f>
        <v>2797203.66</v>
      </c>
      <c r="O112" s="37" t="str">
        <f aca="false">IF(AND(N111&lt;0,N112&gt;=0,A112&lt;=MAX(120,Premissas!$B$15*12)),(A112-1)+(-N111)/M112,"")</f>
        <v/>
      </c>
      <c r="P112" s="9" t="n">
        <f aca="false">Resultados!$B$19*$B112-Resultados!$B$20*$B112-Premissas!$B$24-Resultados!$B$19*$B112*(Premissas!$B$14/100)</f>
        <v>24432.4</v>
      </c>
      <c r="Q112" s="9" t="n">
        <f aca="false">P112-$C112</f>
        <v>24432.4</v>
      </c>
      <c r="R112" s="9" t="n">
        <f aca="false">R111+Q112</f>
        <v>2231258.28</v>
      </c>
      <c r="S112" s="37" t="str">
        <f aca="false">IF(AND(R111&lt;0,R112&gt;=0,A112&lt;=MAX(120,Premissas!$B$15*12)),(A112-1)+(-R111)/Q112,"")</f>
        <v/>
      </c>
    </row>
    <row r="113" customFormat="false" ht="15" hidden="false" customHeight="false" outlineLevel="0" collapsed="false">
      <c r="A113" s="10" t="n">
        <f aca="false">A112+1</f>
        <v>109</v>
      </c>
      <c r="B113" s="36" t="n">
        <f aca="false">IF(Premissas!$B$9&lt;=1,1,MIN(1,Premissas!$B$8/100+(1-Premissas!$B$8/100)*(A113-1)/(Premissas!$B$9-1)))</f>
        <v>1</v>
      </c>
      <c r="C113" s="9" t="n">
        <f aca="false">IF(A113&lt;=Resultados!$B$9,Resultados!$B$10,0)</f>
        <v>0</v>
      </c>
      <c r="D113" s="9" t="n">
        <f aca="false">Resultados!$E$37*$B113-Resultados!$F$37*$B113-Premissas!$B$24-Resultados!$E$37*$B113*(Premissas!$B$14/100)</f>
        <v>19027</v>
      </c>
      <c r="E113" s="9" t="n">
        <f aca="false">D113-$C113</f>
        <v>19027</v>
      </c>
      <c r="F113" s="9" t="n">
        <f aca="false">F112+E113</f>
        <v>1684339.9</v>
      </c>
      <c r="G113" s="37" t="str">
        <f aca="false">IF(AND(F112&lt;0,F113&gt;=0,A113&lt;=MAX(120,Premissas!$B$15*12)),(A113-1)+(-F112)/E113,"")</f>
        <v/>
      </c>
      <c r="H113" s="9" t="n">
        <f aca="false">Resultados!$E$38*$B113-Resultados!$F$38*$B113-Premissas!$B$24-Resultados!$E$38*$B113*(Premissas!$B$14/100)</f>
        <v>24432.4</v>
      </c>
      <c r="I113" s="9" t="n">
        <f aca="false">H113-$C113</f>
        <v>24432.4</v>
      </c>
      <c r="J113" s="9" t="n">
        <f aca="false">J112+I113</f>
        <v>2255690.68</v>
      </c>
      <c r="K113" s="37" t="str">
        <f aca="false">IF(AND(J112&lt;0,J113&gt;=0,A113&lt;=MAX(120,Premissas!$B$15*12)),(A113-1)+(-J112)/I113,"")</f>
        <v/>
      </c>
      <c r="L113" s="9" t="n">
        <f aca="false">Resultados!$E$39*$B113-Resultados!$F$39*$B113-Premissas!$B$24-Resultados!$E$39*$B113*(Premissas!$B$14/100)</f>
        <v>29837.8</v>
      </c>
      <c r="M113" s="9" t="n">
        <f aca="false">L113-$C113</f>
        <v>29837.8</v>
      </c>
      <c r="N113" s="9" t="n">
        <f aca="false">N112+M113</f>
        <v>2827041.46</v>
      </c>
      <c r="O113" s="37" t="str">
        <f aca="false">IF(AND(N112&lt;0,N113&gt;=0,A113&lt;=MAX(120,Premissas!$B$15*12)),(A113-1)+(-N112)/M113,"")</f>
        <v/>
      </c>
      <c r="P113" s="9" t="n">
        <f aca="false">Resultados!$B$19*$B113-Resultados!$B$20*$B113-Premissas!$B$24-Resultados!$B$19*$B113*(Premissas!$B$14/100)</f>
        <v>24432.4</v>
      </c>
      <c r="Q113" s="9" t="n">
        <f aca="false">P113-$C113</f>
        <v>24432.4</v>
      </c>
      <c r="R113" s="9" t="n">
        <f aca="false">R112+Q113</f>
        <v>2255690.68</v>
      </c>
      <c r="S113" s="37" t="str">
        <f aca="false">IF(AND(R112&lt;0,R113&gt;=0,A113&lt;=MAX(120,Premissas!$B$15*12)),(A113-1)+(-R112)/Q113,"")</f>
        <v/>
      </c>
    </row>
    <row r="114" customFormat="false" ht="15" hidden="false" customHeight="false" outlineLevel="0" collapsed="false">
      <c r="A114" s="10" t="n">
        <f aca="false">A113+1</f>
        <v>110</v>
      </c>
      <c r="B114" s="36" t="n">
        <f aca="false">IF(Premissas!$B$9&lt;=1,1,MIN(1,Premissas!$B$8/100+(1-Premissas!$B$8/100)*(A114-1)/(Premissas!$B$9-1)))</f>
        <v>1</v>
      </c>
      <c r="C114" s="9" t="n">
        <f aca="false">IF(A114&lt;=Resultados!$B$9,Resultados!$B$10,0)</f>
        <v>0</v>
      </c>
      <c r="D114" s="9" t="n">
        <f aca="false">Resultados!$E$37*$B114-Resultados!$F$37*$B114-Premissas!$B$24-Resultados!$E$37*$B114*(Premissas!$B$14/100)</f>
        <v>19027</v>
      </c>
      <c r="E114" s="9" t="n">
        <f aca="false">D114-$C114</f>
        <v>19027</v>
      </c>
      <c r="F114" s="9" t="n">
        <f aca="false">F113+E114</f>
        <v>1703366.9</v>
      </c>
      <c r="G114" s="37" t="str">
        <f aca="false">IF(AND(F113&lt;0,F114&gt;=0,A114&lt;=MAX(120,Premissas!$B$15*12)),(A114-1)+(-F113)/E114,"")</f>
        <v/>
      </c>
      <c r="H114" s="9" t="n">
        <f aca="false">Resultados!$E$38*$B114-Resultados!$F$38*$B114-Premissas!$B$24-Resultados!$E$38*$B114*(Premissas!$B$14/100)</f>
        <v>24432.4</v>
      </c>
      <c r="I114" s="9" t="n">
        <f aca="false">H114-$C114</f>
        <v>24432.4</v>
      </c>
      <c r="J114" s="9" t="n">
        <f aca="false">J113+I114</f>
        <v>2280123.08</v>
      </c>
      <c r="K114" s="37" t="str">
        <f aca="false">IF(AND(J113&lt;0,J114&gt;=0,A114&lt;=MAX(120,Premissas!$B$15*12)),(A114-1)+(-J113)/I114,"")</f>
        <v/>
      </c>
      <c r="L114" s="9" t="n">
        <f aca="false">Resultados!$E$39*$B114-Resultados!$F$39*$B114-Premissas!$B$24-Resultados!$E$39*$B114*(Premissas!$B$14/100)</f>
        <v>29837.8</v>
      </c>
      <c r="M114" s="9" t="n">
        <f aca="false">L114-$C114</f>
        <v>29837.8</v>
      </c>
      <c r="N114" s="9" t="n">
        <f aca="false">N113+M114</f>
        <v>2856879.26</v>
      </c>
      <c r="O114" s="37" t="str">
        <f aca="false">IF(AND(N113&lt;0,N114&gt;=0,A114&lt;=MAX(120,Premissas!$B$15*12)),(A114-1)+(-N113)/M114,"")</f>
        <v/>
      </c>
      <c r="P114" s="9" t="n">
        <f aca="false">Resultados!$B$19*$B114-Resultados!$B$20*$B114-Premissas!$B$24-Resultados!$B$19*$B114*(Premissas!$B$14/100)</f>
        <v>24432.4</v>
      </c>
      <c r="Q114" s="9" t="n">
        <f aca="false">P114-$C114</f>
        <v>24432.4</v>
      </c>
      <c r="R114" s="9" t="n">
        <f aca="false">R113+Q114</f>
        <v>2280123.08</v>
      </c>
      <c r="S114" s="37" t="str">
        <f aca="false">IF(AND(R113&lt;0,R114&gt;=0,A114&lt;=MAX(120,Premissas!$B$15*12)),(A114-1)+(-R113)/Q114,"")</f>
        <v/>
      </c>
    </row>
    <row r="115" customFormat="false" ht="15" hidden="false" customHeight="false" outlineLevel="0" collapsed="false">
      <c r="A115" s="10" t="n">
        <f aca="false">A114+1</f>
        <v>111</v>
      </c>
      <c r="B115" s="36" t="n">
        <f aca="false">IF(Premissas!$B$9&lt;=1,1,MIN(1,Premissas!$B$8/100+(1-Premissas!$B$8/100)*(A115-1)/(Premissas!$B$9-1)))</f>
        <v>1</v>
      </c>
      <c r="C115" s="9" t="n">
        <f aca="false">IF(A115&lt;=Resultados!$B$9,Resultados!$B$10,0)</f>
        <v>0</v>
      </c>
      <c r="D115" s="9" t="n">
        <f aca="false">Resultados!$E$37*$B115-Resultados!$F$37*$B115-Premissas!$B$24-Resultados!$E$37*$B115*(Premissas!$B$14/100)</f>
        <v>19027</v>
      </c>
      <c r="E115" s="9" t="n">
        <f aca="false">D115-$C115</f>
        <v>19027</v>
      </c>
      <c r="F115" s="9" t="n">
        <f aca="false">F114+E115</f>
        <v>1722393.9</v>
      </c>
      <c r="G115" s="37" t="str">
        <f aca="false">IF(AND(F114&lt;0,F115&gt;=0,A115&lt;=MAX(120,Premissas!$B$15*12)),(A115-1)+(-F114)/E115,"")</f>
        <v/>
      </c>
      <c r="H115" s="9" t="n">
        <f aca="false">Resultados!$E$38*$B115-Resultados!$F$38*$B115-Premissas!$B$24-Resultados!$E$38*$B115*(Premissas!$B$14/100)</f>
        <v>24432.4</v>
      </c>
      <c r="I115" s="9" t="n">
        <f aca="false">H115-$C115</f>
        <v>24432.4</v>
      </c>
      <c r="J115" s="9" t="n">
        <f aca="false">J114+I115</f>
        <v>2304555.48</v>
      </c>
      <c r="K115" s="37" t="str">
        <f aca="false">IF(AND(J114&lt;0,J115&gt;=0,A115&lt;=MAX(120,Premissas!$B$15*12)),(A115-1)+(-J114)/I115,"")</f>
        <v/>
      </c>
      <c r="L115" s="9" t="n">
        <f aca="false">Resultados!$E$39*$B115-Resultados!$F$39*$B115-Premissas!$B$24-Resultados!$E$39*$B115*(Premissas!$B$14/100)</f>
        <v>29837.8</v>
      </c>
      <c r="M115" s="9" t="n">
        <f aca="false">L115-$C115</f>
        <v>29837.8</v>
      </c>
      <c r="N115" s="9" t="n">
        <f aca="false">N114+M115</f>
        <v>2886717.06</v>
      </c>
      <c r="O115" s="37" t="str">
        <f aca="false">IF(AND(N114&lt;0,N115&gt;=0,A115&lt;=MAX(120,Premissas!$B$15*12)),(A115-1)+(-N114)/M115,"")</f>
        <v/>
      </c>
      <c r="P115" s="9" t="n">
        <f aca="false">Resultados!$B$19*$B115-Resultados!$B$20*$B115-Premissas!$B$24-Resultados!$B$19*$B115*(Premissas!$B$14/100)</f>
        <v>24432.4</v>
      </c>
      <c r="Q115" s="9" t="n">
        <f aca="false">P115-$C115</f>
        <v>24432.4</v>
      </c>
      <c r="R115" s="9" t="n">
        <f aca="false">R114+Q115</f>
        <v>2304555.48</v>
      </c>
      <c r="S115" s="37" t="str">
        <f aca="false">IF(AND(R114&lt;0,R115&gt;=0,A115&lt;=MAX(120,Premissas!$B$15*12)),(A115-1)+(-R114)/Q115,"")</f>
        <v/>
      </c>
    </row>
    <row r="116" customFormat="false" ht="15" hidden="false" customHeight="false" outlineLevel="0" collapsed="false">
      <c r="A116" s="10" t="n">
        <f aca="false">A115+1</f>
        <v>112</v>
      </c>
      <c r="B116" s="36" t="n">
        <f aca="false">IF(Premissas!$B$9&lt;=1,1,MIN(1,Premissas!$B$8/100+(1-Premissas!$B$8/100)*(A116-1)/(Premissas!$B$9-1)))</f>
        <v>1</v>
      </c>
      <c r="C116" s="9" t="n">
        <f aca="false">IF(A116&lt;=Resultados!$B$9,Resultados!$B$10,0)</f>
        <v>0</v>
      </c>
      <c r="D116" s="9" t="n">
        <f aca="false">Resultados!$E$37*$B116-Resultados!$F$37*$B116-Premissas!$B$24-Resultados!$E$37*$B116*(Premissas!$B$14/100)</f>
        <v>19027</v>
      </c>
      <c r="E116" s="9" t="n">
        <f aca="false">D116-$C116</f>
        <v>19027</v>
      </c>
      <c r="F116" s="9" t="n">
        <f aca="false">F115+E116</f>
        <v>1741420.9</v>
      </c>
      <c r="G116" s="37" t="str">
        <f aca="false">IF(AND(F115&lt;0,F116&gt;=0,A116&lt;=MAX(120,Premissas!$B$15*12)),(A116-1)+(-F115)/E116,"")</f>
        <v/>
      </c>
      <c r="H116" s="9" t="n">
        <f aca="false">Resultados!$E$38*$B116-Resultados!$F$38*$B116-Premissas!$B$24-Resultados!$E$38*$B116*(Premissas!$B$14/100)</f>
        <v>24432.4</v>
      </c>
      <c r="I116" s="9" t="n">
        <f aca="false">H116-$C116</f>
        <v>24432.4</v>
      </c>
      <c r="J116" s="9" t="n">
        <f aca="false">J115+I116</f>
        <v>2328987.88</v>
      </c>
      <c r="K116" s="37" t="str">
        <f aca="false">IF(AND(J115&lt;0,J116&gt;=0,A116&lt;=MAX(120,Premissas!$B$15*12)),(A116-1)+(-J115)/I116,"")</f>
        <v/>
      </c>
      <c r="L116" s="9" t="n">
        <f aca="false">Resultados!$E$39*$B116-Resultados!$F$39*$B116-Premissas!$B$24-Resultados!$E$39*$B116*(Premissas!$B$14/100)</f>
        <v>29837.8</v>
      </c>
      <c r="M116" s="9" t="n">
        <f aca="false">L116-$C116</f>
        <v>29837.8</v>
      </c>
      <c r="N116" s="9" t="n">
        <f aca="false">N115+M116</f>
        <v>2916554.86</v>
      </c>
      <c r="O116" s="37" t="str">
        <f aca="false">IF(AND(N115&lt;0,N116&gt;=0,A116&lt;=MAX(120,Premissas!$B$15*12)),(A116-1)+(-N115)/M116,"")</f>
        <v/>
      </c>
      <c r="P116" s="9" t="n">
        <f aca="false">Resultados!$B$19*$B116-Resultados!$B$20*$B116-Premissas!$B$24-Resultados!$B$19*$B116*(Premissas!$B$14/100)</f>
        <v>24432.4</v>
      </c>
      <c r="Q116" s="9" t="n">
        <f aca="false">P116-$C116</f>
        <v>24432.4</v>
      </c>
      <c r="R116" s="9" t="n">
        <f aca="false">R115+Q116</f>
        <v>2328987.88</v>
      </c>
      <c r="S116" s="37" t="str">
        <f aca="false">IF(AND(R115&lt;0,R116&gt;=0,A116&lt;=MAX(120,Premissas!$B$15*12)),(A116-1)+(-R115)/Q116,"")</f>
        <v/>
      </c>
    </row>
    <row r="117" customFormat="false" ht="15" hidden="false" customHeight="false" outlineLevel="0" collapsed="false">
      <c r="A117" s="10" t="n">
        <f aca="false">A116+1</f>
        <v>113</v>
      </c>
      <c r="B117" s="36" t="n">
        <f aca="false">IF(Premissas!$B$9&lt;=1,1,MIN(1,Premissas!$B$8/100+(1-Premissas!$B$8/100)*(A117-1)/(Premissas!$B$9-1)))</f>
        <v>1</v>
      </c>
      <c r="C117" s="9" t="n">
        <f aca="false">IF(A117&lt;=Resultados!$B$9,Resultados!$B$10,0)</f>
        <v>0</v>
      </c>
      <c r="D117" s="9" t="n">
        <f aca="false">Resultados!$E$37*$B117-Resultados!$F$37*$B117-Premissas!$B$24-Resultados!$E$37*$B117*(Premissas!$B$14/100)</f>
        <v>19027</v>
      </c>
      <c r="E117" s="9" t="n">
        <f aca="false">D117-$C117</f>
        <v>19027</v>
      </c>
      <c r="F117" s="9" t="n">
        <f aca="false">F116+E117</f>
        <v>1760447.9</v>
      </c>
      <c r="G117" s="37" t="str">
        <f aca="false">IF(AND(F116&lt;0,F117&gt;=0,A117&lt;=MAX(120,Premissas!$B$15*12)),(A117-1)+(-F116)/E117,"")</f>
        <v/>
      </c>
      <c r="H117" s="9" t="n">
        <f aca="false">Resultados!$E$38*$B117-Resultados!$F$38*$B117-Premissas!$B$24-Resultados!$E$38*$B117*(Premissas!$B$14/100)</f>
        <v>24432.4</v>
      </c>
      <c r="I117" s="9" t="n">
        <f aca="false">H117-$C117</f>
        <v>24432.4</v>
      </c>
      <c r="J117" s="9" t="n">
        <f aca="false">J116+I117</f>
        <v>2353420.28</v>
      </c>
      <c r="K117" s="37" t="str">
        <f aca="false">IF(AND(J116&lt;0,J117&gt;=0,A117&lt;=MAX(120,Premissas!$B$15*12)),(A117-1)+(-J116)/I117,"")</f>
        <v/>
      </c>
      <c r="L117" s="9" t="n">
        <f aca="false">Resultados!$E$39*$B117-Resultados!$F$39*$B117-Premissas!$B$24-Resultados!$E$39*$B117*(Premissas!$B$14/100)</f>
        <v>29837.8</v>
      </c>
      <c r="M117" s="9" t="n">
        <f aca="false">L117-$C117</f>
        <v>29837.8</v>
      </c>
      <c r="N117" s="9" t="n">
        <f aca="false">N116+M117</f>
        <v>2946392.66</v>
      </c>
      <c r="O117" s="37" t="str">
        <f aca="false">IF(AND(N116&lt;0,N117&gt;=0,A117&lt;=MAX(120,Premissas!$B$15*12)),(A117-1)+(-N116)/M117,"")</f>
        <v/>
      </c>
      <c r="P117" s="9" t="n">
        <f aca="false">Resultados!$B$19*$B117-Resultados!$B$20*$B117-Premissas!$B$24-Resultados!$B$19*$B117*(Premissas!$B$14/100)</f>
        <v>24432.4</v>
      </c>
      <c r="Q117" s="9" t="n">
        <f aca="false">P117-$C117</f>
        <v>24432.4</v>
      </c>
      <c r="R117" s="9" t="n">
        <f aca="false">R116+Q117</f>
        <v>2353420.28</v>
      </c>
      <c r="S117" s="37" t="str">
        <f aca="false">IF(AND(R116&lt;0,R117&gt;=0,A117&lt;=MAX(120,Premissas!$B$15*12)),(A117-1)+(-R116)/Q117,"")</f>
        <v/>
      </c>
    </row>
    <row r="118" customFormat="false" ht="15" hidden="false" customHeight="false" outlineLevel="0" collapsed="false">
      <c r="A118" s="10" t="n">
        <f aca="false">A117+1</f>
        <v>114</v>
      </c>
      <c r="B118" s="36" t="n">
        <f aca="false">IF(Premissas!$B$9&lt;=1,1,MIN(1,Premissas!$B$8/100+(1-Premissas!$B$8/100)*(A118-1)/(Premissas!$B$9-1)))</f>
        <v>1</v>
      </c>
      <c r="C118" s="9" t="n">
        <f aca="false">IF(A118&lt;=Resultados!$B$9,Resultados!$B$10,0)</f>
        <v>0</v>
      </c>
      <c r="D118" s="9" t="n">
        <f aca="false">Resultados!$E$37*$B118-Resultados!$F$37*$B118-Premissas!$B$24-Resultados!$E$37*$B118*(Premissas!$B$14/100)</f>
        <v>19027</v>
      </c>
      <c r="E118" s="9" t="n">
        <f aca="false">D118-$C118</f>
        <v>19027</v>
      </c>
      <c r="F118" s="9" t="n">
        <f aca="false">F117+E118</f>
        <v>1779474.9</v>
      </c>
      <c r="G118" s="37" t="str">
        <f aca="false">IF(AND(F117&lt;0,F118&gt;=0,A118&lt;=MAX(120,Premissas!$B$15*12)),(A118-1)+(-F117)/E118,"")</f>
        <v/>
      </c>
      <c r="H118" s="9" t="n">
        <f aca="false">Resultados!$E$38*$B118-Resultados!$F$38*$B118-Premissas!$B$24-Resultados!$E$38*$B118*(Premissas!$B$14/100)</f>
        <v>24432.4</v>
      </c>
      <c r="I118" s="9" t="n">
        <f aca="false">H118-$C118</f>
        <v>24432.4</v>
      </c>
      <c r="J118" s="9" t="n">
        <f aca="false">J117+I118</f>
        <v>2377852.68</v>
      </c>
      <c r="K118" s="37" t="str">
        <f aca="false">IF(AND(J117&lt;0,J118&gt;=0,A118&lt;=MAX(120,Premissas!$B$15*12)),(A118-1)+(-J117)/I118,"")</f>
        <v/>
      </c>
      <c r="L118" s="9" t="n">
        <f aca="false">Resultados!$E$39*$B118-Resultados!$F$39*$B118-Premissas!$B$24-Resultados!$E$39*$B118*(Premissas!$B$14/100)</f>
        <v>29837.8</v>
      </c>
      <c r="M118" s="9" t="n">
        <f aca="false">L118-$C118</f>
        <v>29837.8</v>
      </c>
      <c r="N118" s="9" t="n">
        <f aca="false">N117+M118</f>
        <v>2976230.46</v>
      </c>
      <c r="O118" s="37" t="str">
        <f aca="false">IF(AND(N117&lt;0,N118&gt;=0,A118&lt;=MAX(120,Premissas!$B$15*12)),(A118-1)+(-N117)/M118,"")</f>
        <v/>
      </c>
      <c r="P118" s="9" t="n">
        <f aca="false">Resultados!$B$19*$B118-Resultados!$B$20*$B118-Premissas!$B$24-Resultados!$B$19*$B118*(Premissas!$B$14/100)</f>
        <v>24432.4</v>
      </c>
      <c r="Q118" s="9" t="n">
        <f aca="false">P118-$C118</f>
        <v>24432.4</v>
      </c>
      <c r="R118" s="9" t="n">
        <f aca="false">R117+Q118</f>
        <v>2377852.68</v>
      </c>
      <c r="S118" s="37" t="str">
        <f aca="false">IF(AND(R117&lt;0,R118&gt;=0,A118&lt;=MAX(120,Premissas!$B$15*12)),(A118-1)+(-R117)/Q118,"")</f>
        <v/>
      </c>
    </row>
    <row r="119" customFormat="false" ht="15" hidden="false" customHeight="false" outlineLevel="0" collapsed="false">
      <c r="A119" s="10" t="n">
        <f aca="false">A118+1</f>
        <v>115</v>
      </c>
      <c r="B119" s="36" t="n">
        <f aca="false">IF(Premissas!$B$9&lt;=1,1,MIN(1,Premissas!$B$8/100+(1-Premissas!$B$8/100)*(A119-1)/(Premissas!$B$9-1)))</f>
        <v>1</v>
      </c>
      <c r="C119" s="9" t="n">
        <f aca="false">IF(A119&lt;=Resultados!$B$9,Resultados!$B$10,0)</f>
        <v>0</v>
      </c>
      <c r="D119" s="9" t="n">
        <f aca="false">Resultados!$E$37*$B119-Resultados!$F$37*$B119-Premissas!$B$24-Resultados!$E$37*$B119*(Premissas!$B$14/100)</f>
        <v>19027</v>
      </c>
      <c r="E119" s="9" t="n">
        <f aca="false">D119-$C119</f>
        <v>19027</v>
      </c>
      <c r="F119" s="9" t="n">
        <f aca="false">F118+E119</f>
        <v>1798501.9</v>
      </c>
      <c r="G119" s="37" t="str">
        <f aca="false">IF(AND(F118&lt;0,F119&gt;=0,A119&lt;=MAX(120,Premissas!$B$15*12)),(A119-1)+(-F118)/E119,"")</f>
        <v/>
      </c>
      <c r="H119" s="9" t="n">
        <f aca="false">Resultados!$E$38*$B119-Resultados!$F$38*$B119-Premissas!$B$24-Resultados!$E$38*$B119*(Premissas!$B$14/100)</f>
        <v>24432.4</v>
      </c>
      <c r="I119" s="9" t="n">
        <f aca="false">H119-$C119</f>
        <v>24432.4</v>
      </c>
      <c r="J119" s="9" t="n">
        <f aca="false">J118+I119</f>
        <v>2402285.08</v>
      </c>
      <c r="K119" s="37" t="str">
        <f aca="false">IF(AND(J118&lt;0,J119&gt;=0,A119&lt;=MAX(120,Premissas!$B$15*12)),(A119-1)+(-J118)/I119,"")</f>
        <v/>
      </c>
      <c r="L119" s="9" t="n">
        <f aca="false">Resultados!$E$39*$B119-Resultados!$F$39*$B119-Premissas!$B$24-Resultados!$E$39*$B119*(Premissas!$B$14/100)</f>
        <v>29837.8</v>
      </c>
      <c r="M119" s="9" t="n">
        <f aca="false">L119-$C119</f>
        <v>29837.8</v>
      </c>
      <c r="N119" s="9" t="n">
        <f aca="false">N118+M119</f>
        <v>3006068.26</v>
      </c>
      <c r="O119" s="37" t="str">
        <f aca="false">IF(AND(N118&lt;0,N119&gt;=0,A119&lt;=MAX(120,Premissas!$B$15*12)),(A119-1)+(-N118)/M119,"")</f>
        <v/>
      </c>
      <c r="P119" s="9" t="n">
        <f aca="false">Resultados!$B$19*$B119-Resultados!$B$20*$B119-Premissas!$B$24-Resultados!$B$19*$B119*(Premissas!$B$14/100)</f>
        <v>24432.4</v>
      </c>
      <c r="Q119" s="9" t="n">
        <f aca="false">P119-$C119</f>
        <v>24432.4</v>
      </c>
      <c r="R119" s="9" t="n">
        <f aca="false">R118+Q119</f>
        <v>2402285.08</v>
      </c>
      <c r="S119" s="37" t="str">
        <f aca="false">IF(AND(R118&lt;0,R119&gt;=0,A119&lt;=MAX(120,Premissas!$B$15*12)),(A119-1)+(-R118)/Q119,"")</f>
        <v/>
      </c>
    </row>
    <row r="120" customFormat="false" ht="15" hidden="false" customHeight="false" outlineLevel="0" collapsed="false">
      <c r="A120" s="10" t="n">
        <f aca="false">A119+1</f>
        <v>116</v>
      </c>
      <c r="B120" s="36" t="n">
        <f aca="false">IF(Premissas!$B$9&lt;=1,1,MIN(1,Premissas!$B$8/100+(1-Premissas!$B$8/100)*(A120-1)/(Premissas!$B$9-1)))</f>
        <v>1</v>
      </c>
      <c r="C120" s="9" t="n">
        <f aca="false">IF(A120&lt;=Resultados!$B$9,Resultados!$B$10,0)</f>
        <v>0</v>
      </c>
      <c r="D120" s="9" t="n">
        <f aca="false">Resultados!$E$37*$B120-Resultados!$F$37*$B120-Premissas!$B$24-Resultados!$E$37*$B120*(Premissas!$B$14/100)</f>
        <v>19027</v>
      </c>
      <c r="E120" s="9" t="n">
        <f aca="false">D120-$C120</f>
        <v>19027</v>
      </c>
      <c r="F120" s="9" t="n">
        <f aca="false">F119+E120</f>
        <v>1817528.9</v>
      </c>
      <c r="G120" s="37" t="str">
        <f aca="false">IF(AND(F119&lt;0,F120&gt;=0,A120&lt;=MAX(120,Premissas!$B$15*12)),(A120-1)+(-F119)/E120,"")</f>
        <v/>
      </c>
      <c r="H120" s="9" t="n">
        <f aca="false">Resultados!$E$38*$B120-Resultados!$F$38*$B120-Premissas!$B$24-Resultados!$E$38*$B120*(Premissas!$B$14/100)</f>
        <v>24432.4</v>
      </c>
      <c r="I120" s="9" t="n">
        <f aca="false">H120-$C120</f>
        <v>24432.4</v>
      </c>
      <c r="J120" s="9" t="n">
        <f aca="false">J119+I120</f>
        <v>2426717.48</v>
      </c>
      <c r="K120" s="37" t="str">
        <f aca="false">IF(AND(J119&lt;0,J120&gt;=0,A120&lt;=MAX(120,Premissas!$B$15*12)),(A120-1)+(-J119)/I120,"")</f>
        <v/>
      </c>
      <c r="L120" s="9" t="n">
        <f aca="false">Resultados!$E$39*$B120-Resultados!$F$39*$B120-Premissas!$B$24-Resultados!$E$39*$B120*(Premissas!$B$14/100)</f>
        <v>29837.8</v>
      </c>
      <c r="M120" s="9" t="n">
        <f aca="false">L120-$C120</f>
        <v>29837.8</v>
      </c>
      <c r="N120" s="9" t="n">
        <f aca="false">N119+M120</f>
        <v>3035906.06</v>
      </c>
      <c r="O120" s="37" t="str">
        <f aca="false">IF(AND(N119&lt;0,N120&gt;=0,A120&lt;=MAX(120,Premissas!$B$15*12)),(A120-1)+(-N119)/M120,"")</f>
        <v/>
      </c>
      <c r="P120" s="9" t="n">
        <f aca="false">Resultados!$B$19*$B120-Resultados!$B$20*$B120-Premissas!$B$24-Resultados!$B$19*$B120*(Premissas!$B$14/100)</f>
        <v>24432.4</v>
      </c>
      <c r="Q120" s="9" t="n">
        <f aca="false">P120-$C120</f>
        <v>24432.4</v>
      </c>
      <c r="R120" s="9" t="n">
        <f aca="false">R119+Q120</f>
        <v>2426717.48</v>
      </c>
      <c r="S120" s="37" t="str">
        <f aca="false">IF(AND(R119&lt;0,R120&gt;=0,A120&lt;=MAX(120,Premissas!$B$15*12)),(A120-1)+(-R119)/Q120,"")</f>
        <v/>
      </c>
    </row>
    <row r="121" customFormat="false" ht="15" hidden="false" customHeight="false" outlineLevel="0" collapsed="false">
      <c r="A121" s="10" t="n">
        <f aca="false">A120+1</f>
        <v>117</v>
      </c>
      <c r="B121" s="36" t="n">
        <f aca="false">IF(Premissas!$B$9&lt;=1,1,MIN(1,Premissas!$B$8/100+(1-Premissas!$B$8/100)*(A121-1)/(Premissas!$B$9-1)))</f>
        <v>1</v>
      </c>
      <c r="C121" s="9" t="n">
        <f aca="false">IF(A121&lt;=Resultados!$B$9,Resultados!$B$10,0)</f>
        <v>0</v>
      </c>
      <c r="D121" s="9" t="n">
        <f aca="false">Resultados!$E$37*$B121-Resultados!$F$37*$B121-Premissas!$B$24-Resultados!$E$37*$B121*(Premissas!$B$14/100)</f>
        <v>19027</v>
      </c>
      <c r="E121" s="9" t="n">
        <f aca="false">D121-$C121</f>
        <v>19027</v>
      </c>
      <c r="F121" s="9" t="n">
        <f aca="false">F120+E121</f>
        <v>1836555.9</v>
      </c>
      <c r="G121" s="37" t="str">
        <f aca="false">IF(AND(F120&lt;0,F121&gt;=0,A121&lt;=MAX(120,Premissas!$B$15*12)),(A121-1)+(-F120)/E121,"")</f>
        <v/>
      </c>
      <c r="H121" s="9" t="n">
        <f aca="false">Resultados!$E$38*$B121-Resultados!$F$38*$B121-Premissas!$B$24-Resultados!$E$38*$B121*(Premissas!$B$14/100)</f>
        <v>24432.4</v>
      </c>
      <c r="I121" s="9" t="n">
        <f aca="false">H121-$C121</f>
        <v>24432.4</v>
      </c>
      <c r="J121" s="9" t="n">
        <f aca="false">J120+I121</f>
        <v>2451149.88</v>
      </c>
      <c r="K121" s="37" t="str">
        <f aca="false">IF(AND(J120&lt;0,J121&gt;=0,A121&lt;=MAX(120,Premissas!$B$15*12)),(A121-1)+(-J120)/I121,"")</f>
        <v/>
      </c>
      <c r="L121" s="9" t="n">
        <f aca="false">Resultados!$E$39*$B121-Resultados!$F$39*$B121-Premissas!$B$24-Resultados!$E$39*$B121*(Premissas!$B$14/100)</f>
        <v>29837.8</v>
      </c>
      <c r="M121" s="9" t="n">
        <f aca="false">L121-$C121</f>
        <v>29837.8</v>
      </c>
      <c r="N121" s="9" t="n">
        <f aca="false">N120+M121</f>
        <v>3065743.86</v>
      </c>
      <c r="O121" s="37" t="str">
        <f aca="false">IF(AND(N120&lt;0,N121&gt;=0,A121&lt;=MAX(120,Premissas!$B$15*12)),(A121-1)+(-N120)/M121,"")</f>
        <v/>
      </c>
      <c r="P121" s="9" t="n">
        <f aca="false">Resultados!$B$19*$B121-Resultados!$B$20*$B121-Premissas!$B$24-Resultados!$B$19*$B121*(Premissas!$B$14/100)</f>
        <v>24432.4</v>
      </c>
      <c r="Q121" s="9" t="n">
        <f aca="false">P121-$C121</f>
        <v>24432.4</v>
      </c>
      <c r="R121" s="9" t="n">
        <f aca="false">R120+Q121</f>
        <v>2451149.88</v>
      </c>
      <c r="S121" s="37" t="str">
        <f aca="false">IF(AND(R120&lt;0,R121&gt;=0,A121&lt;=MAX(120,Premissas!$B$15*12)),(A121-1)+(-R120)/Q121,"")</f>
        <v/>
      </c>
    </row>
    <row r="122" customFormat="false" ht="15" hidden="false" customHeight="false" outlineLevel="0" collapsed="false">
      <c r="A122" s="10" t="n">
        <f aca="false">A121+1</f>
        <v>118</v>
      </c>
      <c r="B122" s="36" t="n">
        <f aca="false">IF(Premissas!$B$9&lt;=1,1,MIN(1,Premissas!$B$8/100+(1-Premissas!$B$8/100)*(A122-1)/(Premissas!$B$9-1)))</f>
        <v>1</v>
      </c>
      <c r="C122" s="9" t="n">
        <f aca="false">IF(A122&lt;=Resultados!$B$9,Resultados!$B$10,0)</f>
        <v>0</v>
      </c>
      <c r="D122" s="9" t="n">
        <f aca="false">Resultados!$E$37*$B122-Resultados!$F$37*$B122-Premissas!$B$24-Resultados!$E$37*$B122*(Premissas!$B$14/100)</f>
        <v>19027</v>
      </c>
      <c r="E122" s="9" t="n">
        <f aca="false">D122-$C122</f>
        <v>19027</v>
      </c>
      <c r="F122" s="9" t="n">
        <f aca="false">F121+E122</f>
        <v>1855582.9</v>
      </c>
      <c r="G122" s="37" t="str">
        <f aca="false">IF(AND(F121&lt;0,F122&gt;=0,A122&lt;=MAX(120,Premissas!$B$15*12)),(A122-1)+(-F121)/E122,"")</f>
        <v/>
      </c>
      <c r="H122" s="9" t="n">
        <f aca="false">Resultados!$E$38*$B122-Resultados!$F$38*$B122-Premissas!$B$24-Resultados!$E$38*$B122*(Premissas!$B$14/100)</f>
        <v>24432.4</v>
      </c>
      <c r="I122" s="9" t="n">
        <f aca="false">H122-$C122</f>
        <v>24432.4</v>
      </c>
      <c r="J122" s="9" t="n">
        <f aca="false">J121+I122</f>
        <v>2475582.28</v>
      </c>
      <c r="K122" s="37" t="str">
        <f aca="false">IF(AND(J121&lt;0,J122&gt;=0,A122&lt;=MAX(120,Premissas!$B$15*12)),(A122-1)+(-J121)/I122,"")</f>
        <v/>
      </c>
      <c r="L122" s="9" t="n">
        <f aca="false">Resultados!$E$39*$B122-Resultados!$F$39*$B122-Premissas!$B$24-Resultados!$E$39*$B122*(Premissas!$B$14/100)</f>
        <v>29837.8</v>
      </c>
      <c r="M122" s="9" t="n">
        <f aca="false">L122-$C122</f>
        <v>29837.8</v>
      </c>
      <c r="N122" s="9" t="n">
        <f aca="false">N121+M122</f>
        <v>3095581.66</v>
      </c>
      <c r="O122" s="37" t="str">
        <f aca="false">IF(AND(N121&lt;0,N122&gt;=0,A122&lt;=MAX(120,Premissas!$B$15*12)),(A122-1)+(-N121)/M122,"")</f>
        <v/>
      </c>
      <c r="P122" s="9" t="n">
        <f aca="false">Resultados!$B$19*$B122-Resultados!$B$20*$B122-Premissas!$B$24-Resultados!$B$19*$B122*(Premissas!$B$14/100)</f>
        <v>24432.4</v>
      </c>
      <c r="Q122" s="9" t="n">
        <f aca="false">P122-$C122</f>
        <v>24432.4</v>
      </c>
      <c r="R122" s="9" t="n">
        <f aca="false">R121+Q122</f>
        <v>2475582.28</v>
      </c>
      <c r="S122" s="37" t="str">
        <f aca="false">IF(AND(R121&lt;0,R122&gt;=0,A122&lt;=MAX(120,Premissas!$B$15*12)),(A122-1)+(-R121)/Q122,"")</f>
        <v/>
      </c>
    </row>
    <row r="123" customFormat="false" ht="15" hidden="false" customHeight="false" outlineLevel="0" collapsed="false">
      <c r="A123" s="10" t="n">
        <f aca="false">A122+1</f>
        <v>119</v>
      </c>
      <c r="B123" s="36" t="n">
        <f aca="false">IF(Premissas!$B$9&lt;=1,1,MIN(1,Premissas!$B$8/100+(1-Premissas!$B$8/100)*(A123-1)/(Premissas!$B$9-1)))</f>
        <v>1</v>
      </c>
      <c r="C123" s="9" t="n">
        <f aca="false">IF(A123&lt;=Resultados!$B$9,Resultados!$B$10,0)</f>
        <v>0</v>
      </c>
      <c r="D123" s="9" t="n">
        <f aca="false">Resultados!$E$37*$B123-Resultados!$F$37*$B123-Premissas!$B$24-Resultados!$E$37*$B123*(Premissas!$B$14/100)</f>
        <v>19027</v>
      </c>
      <c r="E123" s="9" t="n">
        <f aca="false">D123-$C123</f>
        <v>19027</v>
      </c>
      <c r="F123" s="9" t="n">
        <f aca="false">F122+E123</f>
        <v>1874609.9</v>
      </c>
      <c r="G123" s="37" t="str">
        <f aca="false">IF(AND(F122&lt;0,F123&gt;=0,A123&lt;=MAX(120,Premissas!$B$15*12)),(A123-1)+(-F122)/E123,"")</f>
        <v/>
      </c>
      <c r="H123" s="9" t="n">
        <f aca="false">Resultados!$E$38*$B123-Resultados!$F$38*$B123-Premissas!$B$24-Resultados!$E$38*$B123*(Premissas!$B$14/100)</f>
        <v>24432.4</v>
      </c>
      <c r="I123" s="9" t="n">
        <f aca="false">H123-$C123</f>
        <v>24432.4</v>
      </c>
      <c r="J123" s="9" t="n">
        <f aca="false">J122+I123</f>
        <v>2500014.68</v>
      </c>
      <c r="K123" s="37" t="str">
        <f aca="false">IF(AND(J122&lt;0,J123&gt;=0,A123&lt;=MAX(120,Premissas!$B$15*12)),(A123-1)+(-J122)/I123,"")</f>
        <v/>
      </c>
      <c r="L123" s="9" t="n">
        <f aca="false">Resultados!$E$39*$B123-Resultados!$F$39*$B123-Premissas!$B$24-Resultados!$E$39*$B123*(Premissas!$B$14/100)</f>
        <v>29837.8</v>
      </c>
      <c r="M123" s="9" t="n">
        <f aca="false">L123-$C123</f>
        <v>29837.8</v>
      </c>
      <c r="N123" s="9" t="n">
        <f aca="false">N122+M123</f>
        <v>3125419.46</v>
      </c>
      <c r="O123" s="37" t="str">
        <f aca="false">IF(AND(N122&lt;0,N123&gt;=0,A123&lt;=MAX(120,Premissas!$B$15*12)),(A123-1)+(-N122)/M123,"")</f>
        <v/>
      </c>
      <c r="P123" s="9" t="n">
        <f aca="false">Resultados!$B$19*$B123-Resultados!$B$20*$B123-Premissas!$B$24-Resultados!$B$19*$B123*(Premissas!$B$14/100)</f>
        <v>24432.4</v>
      </c>
      <c r="Q123" s="9" t="n">
        <f aca="false">P123-$C123</f>
        <v>24432.4</v>
      </c>
      <c r="R123" s="9" t="n">
        <f aca="false">R122+Q123</f>
        <v>2500014.68</v>
      </c>
      <c r="S123" s="37" t="str">
        <f aca="false">IF(AND(R122&lt;0,R123&gt;=0,A123&lt;=MAX(120,Premissas!$B$15*12)),(A123-1)+(-R122)/Q123,"")</f>
        <v/>
      </c>
    </row>
    <row r="124" customFormat="false" ht="15" hidden="false" customHeight="false" outlineLevel="0" collapsed="false">
      <c r="A124" s="10" t="n">
        <f aca="false">A123+1</f>
        <v>120</v>
      </c>
      <c r="B124" s="36" t="n">
        <f aca="false">IF(Premissas!$B$9&lt;=1,1,MIN(1,Premissas!$B$8/100+(1-Premissas!$B$8/100)*(A124-1)/(Premissas!$B$9-1)))</f>
        <v>1</v>
      </c>
      <c r="C124" s="9" t="n">
        <f aca="false">IF(A124&lt;=Resultados!$B$9,Resultados!$B$10,0)</f>
        <v>0</v>
      </c>
      <c r="D124" s="9" t="n">
        <f aca="false">Resultados!$E$37*$B124-Resultados!$F$37*$B124-Premissas!$B$24-Resultados!$E$37*$B124*(Premissas!$B$14/100)</f>
        <v>19027</v>
      </c>
      <c r="E124" s="9" t="n">
        <f aca="false">D124-$C124</f>
        <v>19027</v>
      </c>
      <c r="F124" s="9" t="n">
        <f aca="false">F123+E124</f>
        <v>1893636.9</v>
      </c>
      <c r="G124" s="37" t="str">
        <f aca="false">IF(AND(F123&lt;0,F124&gt;=0,A124&lt;=MAX(120,Premissas!$B$15*12)),(A124-1)+(-F123)/E124,"")</f>
        <v/>
      </c>
      <c r="H124" s="9" t="n">
        <f aca="false">Resultados!$E$38*$B124-Resultados!$F$38*$B124-Premissas!$B$24-Resultados!$E$38*$B124*(Premissas!$B$14/100)</f>
        <v>24432.4</v>
      </c>
      <c r="I124" s="9" t="n">
        <f aca="false">H124-$C124</f>
        <v>24432.4</v>
      </c>
      <c r="J124" s="9" t="n">
        <f aca="false">J123+I124</f>
        <v>2524447.08</v>
      </c>
      <c r="K124" s="37" t="str">
        <f aca="false">IF(AND(J123&lt;0,J124&gt;=0,A124&lt;=MAX(120,Premissas!$B$15*12)),(A124-1)+(-J123)/I124,"")</f>
        <v/>
      </c>
      <c r="L124" s="9" t="n">
        <f aca="false">Resultados!$E$39*$B124-Resultados!$F$39*$B124-Premissas!$B$24-Resultados!$E$39*$B124*(Premissas!$B$14/100)</f>
        <v>29837.8</v>
      </c>
      <c r="M124" s="9" t="n">
        <f aca="false">L124-$C124</f>
        <v>29837.8</v>
      </c>
      <c r="N124" s="9" t="n">
        <f aca="false">N123+M124</f>
        <v>3155257.26</v>
      </c>
      <c r="O124" s="37" t="str">
        <f aca="false">IF(AND(N123&lt;0,N124&gt;=0,A124&lt;=MAX(120,Premissas!$B$15*12)),(A124-1)+(-N123)/M124,"")</f>
        <v/>
      </c>
      <c r="P124" s="9" t="n">
        <f aca="false">Resultados!$B$19*$B124-Resultados!$B$20*$B124-Premissas!$B$24-Resultados!$B$19*$B124*(Premissas!$B$14/100)</f>
        <v>24432.4</v>
      </c>
      <c r="Q124" s="9" t="n">
        <f aca="false">P124-$C124</f>
        <v>24432.4</v>
      </c>
      <c r="R124" s="9" t="n">
        <f aca="false">R123+Q124</f>
        <v>2524447.08</v>
      </c>
      <c r="S124" s="37" t="str">
        <f aca="false">IF(AND(R123&lt;0,R124&gt;=0,A124&lt;=MAX(120,Premissas!$B$15*12)),(A124-1)+(-R123)/Q124,"")</f>
        <v/>
      </c>
    </row>
    <row r="125" customFormat="false" ht="15" hidden="false" customHeight="false" outlineLevel="0" collapsed="false">
      <c r="A125" s="10" t="n">
        <f aca="false">A124+1</f>
        <v>121</v>
      </c>
      <c r="B125" s="36" t="n">
        <f aca="false">IF(Premissas!$B$9&lt;=1,1,MIN(1,Premissas!$B$8/100+(1-Premissas!$B$8/100)*(A125-1)/(Premissas!$B$9-1)))</f>
        <v>1</v>
      </c>
      <c r="C125" s="9" t="n">
        <f aca="false">IF(A125&lt;=Resultados!$B$9,Resultados!$B$10,0)</f>
        <v>0</v>
      </c>
      <c r="D125" s="9" t="n">
        <f aca="false">Resultados!$E$37*$B125-Resultados!$F$37*$B125-Premissas!$B$24-Resultados!$E$37*$B125*(Premissas!$B$14/100)</f>
        <v>19027</v>
      </c>
      <c r="E125" s="9" t="n">
        <f aca="false">D125-$C125</f>
        <v>19027</v>
      </c>
      <c r="F125" s="9" t="n">
        <f aca="false">F124+E125</f>
        <v>1912663.9</v>
      </c>
      <c r="G125" s="37" t="str">
        <f aca="false">IF(AND(F124&lt;0,F125&gt;=0,A125&lt;=MAX(120,Premissas!$B$15*12)),(A125-1)+(-F124)/E125,"")</f>
        <v/>
      </c>
      <c r="H125" s="9" t="n">
        <f aca="false">Resultados!$E$38*$B125-Resultados!$F$38*$B125-Premissas!$B$24-Resultados!$E$38*$B125*(Premissas!$B$14/100)</f>
        <v>24432.4</v>
      </c>
      <c r="I125" s="9" t="n">
        <f aca="false">H125-$C125</f>
        <v>24432.4</v>
      </c>
      <c r="J125" s="9" t="n">
        <f aca="false">J124+I125</f>
        <v>2548879.48</v>
      </c>
      <c r="K125" s="37" t="str">
        <f aca="false">IF(AND(J124&lt;0,J125&gt;=0,A125&lt;=MAX(120,Premissas!$B$15*12)),(A125-1)+(-J124)/I125,"")</f>
        <v/>
      </c>
      <c r="L125" s="9" t="n">
        <f aca="false">Resultados!$E$39*$B125-Resultados!$F$39*$B125-Premissas!$B$24-Resultados!$E$39*$B125*(Premissas!$B$14/100)</f>
        <v>29837.8</v>
      </c>
      <c r="M125" s="9" t="n">
        <f aca="false">L125-$C125</f>
        <v>29837.8</v>
      </c>
      <c r="N125" s="9" t="n">
        <f aca="false">N124+M125</f>
        <v>3185095.06</v>
      </c>
      <c r="O125" s="37" t="str">
        <f aca="false">IF(AND(N124&lt;0,N125&gt;=0,A125&lt;=MAX(120,Premissas!$B$15*12)),(A125-1)+(-N124)/M125,"")</f>
        <v/>
      </c>
      <c r="P125" s="9" t="n">
        <f aca="false">Resultados!$B$19*$B125-Resultados!$B$20*$B125-Premissas!$B$24-Resultados!$B$19*$B125*(Premissas!$B$14/100)</f>
        <v>24432.4</v>
      </c>
      <c r="Q125" s="9" t="n">
        <f aca="false">P125-$C125</f>
        <v>24432.4</v>
      </c>
      <c r="R125" s="9" t="n">
        <f aca="false">R124+Q125</f>
        <v>2548879.48</v>
      </c>
      <c r="S125" s="37" t="str">
        <f aca="false">IF(AND(R124&lt;0,R125&gt;=0,A125&lt;=MAX(120,Premissas!$B$15*12)),(A125-1)+(-R124)/Q125,"")</f>
        <v/>
      </c>
    </row>
    <row r="126" customFormat="false" ht="15" hidden="false" customHeight="false" outlineLevel="0" collapsed="false">
      <c r="A126" s="10" t="n">
        <f aca="false">A125+1</f>
        <v>122</v>
      </c>
      <c r="B126" s="36" t="n">
        <f aca="false">IF(Premissas!$B$9&lt;=1,1,MIN(1,Premissas!$B$8/100+(1-Premissas!$B$8/100)*(A126-1)/(Premissas!$B$9-1)))</f>
        <v>1</v>
      </c>
      <c r="C126" s="9" t="n">
        <f aca="false">IF(A126&lt;=Resultados!$B$9,Resultados!$B$10,0)</f>
        <v>0</v>
      </c>
      <c r="D126" s="9" t="n">
        <f aca="false">Resultados!$E$37*$B126-Resultados!$F$37*$B126-Premissas!$B$24-Resultados!$E$37*$B126*(Premissas!$B$14/100)</f>
        <v>19027</v>
      </c>
      <c r="E126" s="9" t="n">
        <f aca="false">D126-$C126</f>
        <v>19027</v>
      </c>
      <c r="F126" s="9" t="n">
        <f aca="false">F125+E126</f>
        <v>1931690.9</v>
      </c>
      <c r="G126" s="37" t="str">
        <f aca="false">IF(AND(F125&lt;0,F126&gt;=0,A126&lt;=MAX(120,Premissas!$B$15*12)),(A126-1)+(-F125)/E126,"")</f>
        <v/>
      </c>
      <c r="H126" s="9" t="n">
        <f aca="false">Resultados!$E$38*$B126-Resultados!$F$38*$B126-Premissas!$B$24-Resultados!$E$38*$B126*(Premissas!$B$14/100)</f>
        <v>24432.4</v>
      </c>
      <c r="I126" s="9" t="n">
        <f aca="false">H126-$C126</f>
        <v>24432.4</v>
      </c>
      <c r="J126" s="9" t="n">
        <f aca="false">J125+I126</f>
        <v>2573311.88</v>
      </c>
      <c r="K126" s="37" t="str">
        <f aca="false">IF(AND(J125&lt;0,J126&gt;=0,A126&lt;=MAX(120,Premissas!$B$15*12)),(A126-1)+(-J125)/I126,"")</f>
        <v/>
      </c>
      <c r="L126" s="9" t="n">
        <f aca="false">Resultados!$E$39*$B126-Resultados!$F$39*$B126-Premissas!$B$24-Resultados!$E$39*$B126*(Premissas!$B$14/100)</f>
        <v>29837.8</v>
      </c>
      <c r="M126" s="9" t="n">
        <f aca="false">L126-$C126</f>
        <v>29837.8</v>
      </c>
      <c r="N126" s="9" t="n">
        <f aca="false">N125+M126</f>
        <v>3214932.86</v>
      </c>
      <c r="O126" s="37" t="str">
        <f aca="false">IF(AND(N125&lt;0,N126&gt;=0,A126&lt;=MAX(120,Premissas!$B$15*12)),(A126-1)+(-N125)/M126,"")</f>
        <v/>
      </c>
      <c r="P126" s="9" t="n">
        <f aca="false">Resultados!$B$19*$B126-Resultados!$B$20*$B126-Premissas!$B$24-Resultados!$B$19*$B126*(Premissas!$B$14/100)</f>
        <v>24432.4</v>
      </c>
      <c r="Q126" s="9" t="n">
        <f aca="false">P126-$C126</f>
        <v>24432.4</v>
      </c>
      <c r="R126" s="9" t="n">
        <f aca="false">R125+Q126</f>
        <v>2573311.88</v>
      </c>
      <c r="S126" s="37" t="str">
        <f aca="false">IF(AND(R125&lt;0,R126&gt;=0,A126&lt;=MAX(120,Premissas!$B$15*12)),(A126-1)+(-R125)/Q126,"")</f>
        <v/>
      </c>
    </row>
    <row r="127" customFormat="false" ht="15" hidden="false" customHeight="false" outlineLevel="0" collapsed="false">
      <c r="A127" s="10" t="n">
        <f aca="false">A126+1</f>
        <v>123</v>
      </c>
      <c r="B127" s="36" t="n">
        <f aca="false">IF(Premissas!$B$9&lt;=1,1,MIN(1,Premissas!$B$8/100+(1-Premissas!$B$8/100)*(A127-1)/(Premissas!$B$9-1)))</f>
        <v>1</v>
      </c>
      <c r="C127" s="9" t="n">
        <f aca="false">IF(A127&lt;=Resultados!$B$9,Resultados!$B$10,0)</f>
        <v>0</v>
      </c>
      <c r="D127" s="9" t="n">
        <f aca="false">Resultados!$E$37*$B127-Resultados!$F$37*$B127-Premissas!$B$24-Resultados!$E$37*$B127*(Premissas!$B$14/100)</f>
        <v>19027</v>
      </c>
      <c r="E127" s="9" t="n">
        <f aca="false">D127-$C127</f>
        <v>19027</v>
      </c>
      <c r="F127" s="9" t="n">
        <f aca="false">F126+E127</f>
        <v>1950717.9</v>
      </c>
      <c r="G127" s="37" t="str">
        <f aca="false">IF(AND(F126&lt;0,F127&gt;=0,A127&lt;=MAX(120,Premissas!$B$15*12)),(A127-1)+(-F126)/E127,"")</f>
        <v/>
      </c>
      <c r="H127" s="9" t="n">
        <f aca="false">Resultados!$E$38*$B127-Resultados!$F$38*$B127-Premissas!$B$24-Resultados!$E$38*$B127*(Premissas!$B$14/100)</f>
        <v>24432.4</v>
      </c>
      <c r="I127" s="9" t="n">
        <f aca="false">H127-$C127</f>
        <v>24432.4</v>
      </c>
      <c r="J127" s="9" t="n">
        <f aca="false">J126+I127</f>
        <v>2597744.28</v>
      </c>
      <c r="K127" s="37" t="str">
        <f aca="false">IF(AND(J126&lt;0,J127&gt;=0,A127&lt;=MAX(120,Premissas!$B$15*12)),(A127-1)+(-J126)/I127,"")</f>
        <v/>
      </c>
      <c r="L127" s="9" t="n">
        <f aca="false">Resultados!$E$39*$B127-Resultados!$F$39*$B127-Premissas!$B$24-Resultados!$E$39*$B127*(Premissas!$B$14/100)</f>
        <v>29837.8</v>
      </c>
      <c r="M127" s="9" t="n">
        <f aca="false">L127-$C127</f>
        <v>29837.8</v>
      </c>
      <c r="N127" s="9" t="n">
        <f aca="false">N126+M127</f>
        <v>3244770.66</v>
      </c>
      <c r="O127" s="37" t="str">
        <f aca="false">IF(AND(N126&lt;0,N127&gt;=0,A127&lt;=MAX(120,Premissas!$B$15*12)),(A127-1)+(-N126)/M127,"")</f>
        <v/>
      </c>
      <c r="P127" s="9" t="n">
        <f aca="false">Resultados!$B$19*$B127-Resultados!$B$20*$B127-Premissas!$B$24-Resultados!$B$19*$B127*(Premissas!$B$14/100)</f>
        <v>24432.4</v>
      </c>
      <c r="Q127" s="9" t="n">
        <f aca="false">P127-$C127</f>
        <v>24432.4</v>
      </c>
      <c r="R127" s="9" t="n">
        <f aca="false">R126+Q127</f>
        <v>2597744.28</v>
      </c>
      <c r="S127" s="37" t="str">
        <f aca="false">IF(AND(R126&lt;0,R127&gt;=0,A127&lt;=MAX(120,Premissas!$B$15*12)),(A127-1)+(-R126)/Q127,"")</f>
        <v/>
      </c>
    </row>
    <row r="128" customFormat="false" ht="15" hidden="false" customHeight="false" outlineLevel="0" collapsed="false">
      <c r="A128" s="10" t="n">
        <f aca="false">A127+1</f>
        <v>124</v>
      </c>
      <c r="B128" s="36" t="n">
        <f aca="false">IF(Premissas!$B$9&lt;=1,1,MIN(1,Premissas!$B$8/100+(1-Premissas!$B$8/100)*(A128-1)/(Premissas!$B$9-1)))</f>
        <v>1</v>
      </c>
      <c r="C128" s="9" t="n">
        <f aca="false">IF(A128&lt;=Resultados!$B$9,Resultados!$B$10,0)</f>
        <v>0</v>
      </c>
      <c r="D128" s="9" t="n">
        <f aca="false">Resultados!$E$37*$B128-Resultados!$F$37*$B128-Premissas!$B$24-Resultados!$E$37*$B128*(Premissas!$B$14/100)</f>
        <v>19027</v>
      </c>
      <c r="E128" s="9" t="n">
        <f aca="false">D128-$C128</f>
        <v>19027</v>
      </c>
      <c r="F128" s="9" t="n">
        <f aca="false">F127+E128</f>
        <v>1969744.9</v>
      </c>
      <c r="G128" s="37" t="str">
        <f aca="false">IF(AND(F127&lt;0,F128&gt;=0,A128&lt;=MAX(120,Premissas!$B$15*12)),(A128-1)+(-F127)/E128,"")</f>
        <v/>
      </c>
      <c r="H128" s="9" t="n">
        <f aca="false">Resultados!$E$38*$B128-Resultados!$F$38*$B128-Premissas!$B$24-Resultados!$E$38*$B128*(Premissas!$B$14/100)</f>
        <v>24432.4</v>
      </c>
      <c r="I128" s="9" t="n">
        <f aca="false">H128-$C128</f>
        <v>24432.4</v>
      </c>
      <c r="J128" s="9" t="n">
        <f aca="false">J127+I128</f>
        <v>2622176.68</v>
      </c>
      <c r="K128" s="37" t="str">
        <f aca="false">IF(AND(J127&lt;0,J128&gt;=0,A128&lt;=MAX(120,Premissas!$B$15*12)),(A128-1)+(-J127)/I128,"")</f>
        <v/>
      </c>
      <c r="L128" s="9" t="n">
        <f aca="false">Resultados!$E$39*$B128-Resultados!$F$39*$B128-Premissas!$B$24-Resultados!$E$39*$B128*(Premissas!$B$14/100)</f>
        <v>29837.8</v>
      </c>
      <c r="M128" s="9" t="n">
        <f aca="false">L128-$C128</f>
        <v>29837.8</v>
      </c>
      <c r="N128" s="9" t="n">
        <f aca="false">N127+M128</f>
        <v>3274608.46</v>
      </c>
      <c r="O128" s="37" t="str">
        <f aca="false">IF(AND(N127&lt;0,N128&gt;=0,A128&lt;=MAX(120,Premissas!$B$15*12)),(A128-1)+(-N127)/M128,"")</f>
        <v/>
      </c>
      <c r="P128" s="9" t="n">
        <f aca="false">Resultados!$B$19*$B128-Resultados!$B$20*$B128-Premissas!$B$24-Resultados!$B$19*$B128*(Premissas!$B$14/100)</f>
        <v>24432.4</v>
      </c>
      <c r="Q128" s="9" t="n">
        <f aca="false">P128-$C128</f>
        <v>24432.4</v>
      </c>
      <c r="R128" s="9" t="n">
        <f aca="false">R127+Q128</f>
        <v>2622176.68</v>
      </c>
      <c r="S128" s="37" t="str">
        <f aca="false">IF(AND(R127&lt;0,R128&gt;=0,A128&lt;=MAX(120,Premissas!$B$15*12)),(A128-1)+(-R127)/Q128,"")</f>
        <v/>
      </c>
    </row>
    <row r="129" customFormat="false" ht="15" hidden="false" customHeight="false" outlineLevel="0" collapsed="false">
      <c r="A129" s="10" t="n">
        <f aca="false">A128+1</f>
        <v>125</v>
      </c>
      <c r="B129" s="36" t="n">
        <f aca="false">IF(Premissas!$B$9&lt;=1,1,MIN(1,Premissas!$B$8/100+(1-Premissas!$B$8/100)*(A129-1)/(Premissas!$B$9-1)))</f>
        <v>1</v>
      </c>
      <c r="C129" s="9" t="n">
        <f aca="false">IF(A129&lt;=Resultados!$B$9,Resultados!$B$10,0)</f>
        <v>0</v>
      </c>
      <c r="D129" s="9" t="n">
        <f aca="false">Resultados!$E$37*$B129-Resultados!$F$37*$B129-Premissas!$B$24-Resultados!$E$37*$B129*(Premissas!$B$14/100)</f>
        <v>19027</v>
      </c>
      <c r="E129" s="9" t="n">
        <f aca="false">D129-$C129</f>
        <v>19027</v>
      </c>
      <c r="F129" s="9" t="n">
        <f aca="false">F128+E129</f>
        <v>1988771.9</v>
      </c>
      <c r="G129" s="37" t="str">
        <f aca="false">IF(AND(F128&lt;0,F129&gt;=0,A129&lt;=MAX(120,Premissas!$B$15*12)),(A129-1)+(-F128)/E129,"")</f>
        <v/>
      </c>
      <c r="H129" s="9" t="n">
        <f aca="false">Resultados!$E$38*$B129-Resultados!$F$38*$B129-Premissas!$B$24-Resultados!$E$38*$B129*(Premissas!$B$14/100)</f>
        <v>24432.4</v>
      </c>
      <c r="I129" s="9" t="n">
        <f aca="false">H129-$C129</f>
        <v>24432.4</v>
      </c>
      <c r="J129" s="9" t="n">
        <f aca="false">J128+I129</f>
        <v>2646609.08</v>
      </c>
      <c r="K129" s="37" t="str">
        <f aca="false">IF(AND(J128&lt;0,J129&gt;=0,A129&lt;=MAX(120,Premissas!$B$15*12)),(A129-1)+(-J128)/I129,"")</f>
        <v/>
      </c>
      <c r="L129" s="9" t="n">
        <f aca="false">Resultados!$E$39*$B129-Resultados!$F$39*$B129-Premissas!$B$24-Resultados!$E$39*$B129*(Premissas!$B$14/100)</f>
        <v>29837.8</v>
      </c>
      <c r="M129" s="9" t="n">
        <f aca="false">L129-$C129</f>
        <v>29837.8</v>
      </c>
      <c r="N129" s="9" t="n">
        <f aca="false">N128+M129</f>
        <v>3304446.25999999</v>
      </c>
      <c r="O129" s="37" t="str">
        <f aca="false">IF(AND(N128&lt;0,N129&gt;=0,A129&lt;=MAX(120,Premissas!$B$15*12)),(A129-1)+(-N128)/M129,"")</f>
        <v/>
      </c>
      <c r="P129" s="9" t="n">
        <f aca="false">Resultados!$B$19*$B129-Resultados!$B$20*$B129-Premissas!$B$24-Resultados!$B$19*$B129*(Premissas!$B$14/100)</f>
        <v>24432.4</v>
      </c>
      <c r="Q129" s="9" t="n">
        <f aca="false">P129-$C129</f>
        <v>24432.4</v>
      </c>
      <c r="R129" s="9" t="n">
        <f aca="false">R128+Q129</f>
        <v>2646609.08</v>
      </c>
      <c r="S129" s="37" t="str">
        <f aca="false">IF(AND(R128&lt;0,R129&gt;=0,A129&lt;=MAX(120,Premissas!$B$15*12)),(A129-1)+(-R128)/Q129,"")</f>
        <v/>
      </c>
    </row>
    <row r="130" customFormat="false" ht="15" hidden="false" customHeight="false" outlineLevel="0" collapsed="false">
      <c r="A130" s="10" t="n">
        <f aca="false">A129+1</f>
        <v>126</v>
      </c>
      <c r="B130" s="36" t="n">
        <f aca="false">IF(Premissas!$B$9&lt;=1,1,MIN(1,Premissas!$B$8/100+(1-Premissas!$B$8/100)*(A130-1)/(Premissas!$B$9-1)))</f>
        <v>1</v>
      </c>
      <c r="C130" s="9" t="n">
        <f aca="false">IF(A130&lt;=Resultados!$B$9,Resultados!$B$10,0)</f>
        <v>0</v>
      </c>
      <c r="D130" s="9" t="n">
        <f aca="false">Resultados!$E$37*$B130-Resultados!$F$37*$B130-Premissas!$B$24-Resultados!$E$37*$B130*(Premissas!$B$14/100)</f>
        <v>19027</v>
      </c>
      <c r="E130" s="9" t="n">
        <f aca="false">D130-$C130</f>
        <v>19027</v>
      </c>
      <c r="F130" s="9" t="n">
        <f aca="false">F129+E130</f>
        <v>2007798.9</v>
      </c>
      <c r="G130" s="37" t="str">
        <f aca="false">IF(AND(F129&lt;0,F130&gt;=0,A130&lt;=MAX(120,Premissas!$B$15*12)),(A130-1)+(-F129)/E130,"")</f>
        <v/>
      </c>
      <c r="H130" s="9" t="n">
        <f aca="false">Resultados!$E$38*$B130-Resultados!$F$38*$B130-Premissas!$B$24-Resultados!$E$38*$B130*(Premissas!$B$14/100)</f>
        <v>24432.4</v>
      </c>
      <c r="I130" s="9" t="n">
        <f aca="false">H130-$C130</f>
        <v>24432.4</v>
      </c>
      <c r="J130" s="9" t="n">
        <f aca="false">J129+I130</f>
        <v>2671041.48</v>
      </c>
      <c r="K130" s="37" t="str">
        <f aca="false">IF(AND(J129&lt;0,J130&gt;=0,A130&lt;=MAX(120,Premissas!$B$15*12)),(A130-1)+(-J129)/I130,"")</f>
        <v/>
      </c>
      <c r="L130" s="9" t="n">
        <f aca="false">Resultados!$E$39*$B130-Resultados!$F$39*$B130-Premissas!$B$24-Resultados!$E$39*$B130*(Premissas!$B$14/100)</f>
        <v>29837.8</v>
      </c>
      <c r="M130" s="9" t="n">
        <f aca="false">L130-$C130</f>
        <v>29837.8</v>
      </c>
      <c r="N130" s="9" t="n">
        <f aca="false">N129+M130</f>
        <v>3334284.05999999</v>
      </c>
      <c r="O130" s="37" t="str">
        <f aca="false">IF(AND(N129&lt;0,N130&gt;=0,A130&lt;=MAX(120,Premissas!$B$15*12)),(A130-1)+(-N129)/M130,"")</f>
        <v/>
      </c>
      <c r="P130" s="9" t="n">
        <f aca="false">Resultados!$B$19*$B130-Resultados!$B$20*$B130-Premissas!$B$24-Resultados!$B$19*$B130*(Premissas!$B$14/100)</f>
        <v>24432.4</v>
      </c>
      <c r="Q130" s="9" t="n">
        <f aca="false">P130-$C130</f>
        <v>24432.4</v>
      </c>
      <c r="R130" s="9" t="n">
        <f aca="false">R129+Q130</f>
        <v>2671041.48</v>
      </c>
      <c r="S130" s="37" t="str">
        <f aca="false">IF(AND(R129&lt;0,R130&gt;=0,A130&lt;=MAX(120,Premissas!$B$15*12)),(A130-1)+(-R129)/Q130,"")</f>
        <v/>
      </c>
    </row>
    <row r="131" customFormat="false" ht="15" hidden="false" customHeight="false" outlineLevel="0" collapsed="false">
      <c r="A131" s="10" t="n">
        <f aca="false">A130+1</f>
        <v>127</v>
      </c>
      <c r="B131" s="36" t="n">
        <f aca="false">IF(Premissas!$B$9&lt;=1,1,MIN(1,Premissas!$B$8/100+(1-Premissas!$B$8/100)*(A131-1)/(Premissas!$B$9-1)))</f>
        <v>1</v>
      </c>
      <c r="C131" s="9" t="n">
        <f aca="false">IF(A131&lt;=Resultados!$B$9,Resultados!$B$10,0)</f>
        <v>0</v>
      </c>
      <c r="D131" s="9" t="n">
        <f aca="false">Resultados!$E$37*$B131-Resultados!$F$37*$B131-Premissas!$B$24-Resultados!$E$37*$B131*(Premissas!$B$14/100)</f>
        <v>19027</v>
      </c>
      <c r="E131" s="9" t="n">
        <f aca="false">D131-$C131</f>
        <v>19027</v>
      </c>
      <c r="F131" s="9" t="n">
        <f aca="false">F130+E131</f>
        <v>2026825.9</v>
      </c>
      <c r="G131" s="37" t="str">
        <f aca="false">IF(AND(F130&lt;0,F131&gt;=0,A131&lt;=MAX(120,Premissas!$B$15*12)),(A131-1)+(-F130)/E131,"")</f>
        <v/>
      </c>
      <c r="H131" s="9" t="n">
        <f aca="false">Resultados!$E$38*$B131-Resultados!$F$38*$B131-Premissas!$B$24-Resultados!$E$38*$B131*(Premissas!$B$14/100)</f>
        <v>24432.4</v>
      </c>
      <c r="I131" s="9" t="n">
        <f aca="false">H131-$C131</f>
        <v>24432.4</v>
      </c>
      <c r="J131" s="9" t="n">
        <f aca="false">J130+I131</f>
        <v>2695473.87999999</v>
      </c>
      <c r="K131" s="37" t="str">
        <f aca="false">IF(AND(J130&lt;0,J131&gt;=0,A131&lt;=MAX(120,Premissas!$B$15*12)),(A131-1)+(-J130)/I131,"")</f>
        <v/>
      </c>
      <c r="L131" s="9" t="n">
        <f aca="false">Resultados!$E$39*$B131-Resultados!$F$39*$B131-Premissas!$B$24-Resultados!$E$39*$B131*(Premissas!$B$14/100)</f>
        <v>29837.8</v>
      </c>
      <c r="M131" s="9" t="n">
        <f aca="false">L131-$C131</f>
        <v>29837.8</v>
      </c>
      <c r="N131" s="9" t="n">
        <f aca="false">N130+M131</f>
        <v>3364121.85999999</v>
      </c>
      <c r="O131" s="37" t="str">
        <f aca="false">IF(AND(N130&lt;0,N131&gt;=0,A131&lt;=MAX(120,Premissas!$B$15*12)),(A131-1)+(-N130)/M131,"")</f>
        <v/>
      </c>
      <c r="P131" s="9" t="n">
        <f aca="false">Resultados!$B$19*$B131-Resultados!$B$20*$B131-Premissas!$B$24-Resultados!$B$19*$B131*(Premissas!$B$14/100)</f>
        <v>24432.4</v>
      </c>
      <c r="Q131" s="9" t="n">
        <f aca="false">P131-$C131</f>
        <v>24432.4</v>
      </c>
      <c r="R131" s="9" t="n">
        <f aca="false">R130+Q131</f>
        <v>2695473.87999999</v>
      </c>
      <c r="S131" s="37" t="str">
        <f aca="false">IF(AND(R130&lt;0,R131&gt;=0,A131&lt;=MAX(120,Premissas!$B$15*12)),(A131-1)+(-R130)/Q131,"")</f>
        <v/>
      </c>
    </row>
    <row r="132" customFormat="false" ht="15" hidden="false" customHeight="false" outlineLevel="0" collapsed="false">
      <c r="A132" s="10" t="n">
        <f aca="false">A131+1</f>
        <v>128</v>
      </c>
      <c r="B132" s="36" t="n">
        <f aca="false">IF(Premissas!$B$9&lt;=1,1,MIN(1,Premissas!$B$8/100+(1-Premissas!$B$8/100)*(A132-1)/(Premissas!$B$9-1)))</f>
        <v>1</v>
      </c>
      <c r="C132" s="9" t="n">
        <f aca="false">IF(A132&lt;=Resultados!$B$9,Resultados!$B$10,0)</f>
        <v>0</v>
      </c>
      <c r="D132" s="9" t="n">
        <f aca="false">Resultados!$E$37*$B132-Resultados!$F$37*$B132-Premissas!$B$24-Resultados!$E$37*$B132*(Premissas!$B$14/100)</f>
        <v>19027</v>
      </c>
      <c r="E132" s="9" t="n">
        <f aca="false">D132-$C132</f>
        <v>19027</v>
      </c>
      <c r="F132" s="9" t="n">
        <f aca="false">F131+E132</f>
        <v>2045852.9</v>
      </c>
      <c r="G132" s="37" t="str">
        <f aca="false">IF(AND(F131&lt;0,F132&gt;=0,A132&lt;=MAX(120,Premissas!$B$15*12)),(A132-1)+(-F131)/E132,"")</f>
        <v/>
      </c>
      <c r="H132" s="9" t="n">
        <f aca="false">Resultados!$E$38*$B132-Resultados!$F$38*$B132-Premissas!$B$24-Resultados!$E$38*$B132*(Premissas!$B$14/100)</f>
        <v>24432.4</v>
      </c>
      <c r="I132" s="9" t="n">
        <f aca="false">H132-$C132</f>
        <v>24432.4</v>
      </c>
      <c r="J132" s="9" t="n">
        <f aca="false">J131+I132</f>
        <v>2719906.27999999</v>
      </c>
      <c r="K132" s="37" t="str">
        <f aca="false">IF(AND(J131&lt;0,J132&gt;=0,A132&lt;=MAX(120,Premissas!$B$15*12)),(A132-1)+(-J131)/I132,"")</f>
        <v/>
      </c>
      <c r="L132" s="9" t="n">
        <f aca="false">Resultados!$E$39*$B132-Resultados!$F$39*$B132-Premissas!$B$24-Resultados!$E$39*$B132*(Premissas!$B$14/100)</f>
        <v>29837.8</v>
      </c>
      <c r="M132" s="9" t="n">
        <f aca="false">L132-$C132</f>
        <v>29837.8</v>
      </c>
      <c r="N132" s="9" t="n">
        <f aca="false">N131+M132</f>
        <v>3393959.65999999</v>
      </c>
      <c r="O132" s="37" t="str">
        <f aca="false">IF(AND(N131&lt;0,N132&gt;=0,A132&lt;=MAX(120,Premissas!$B$15*12)),(A132-1)+(-N131)/M132,"")</f>
        <v/>
      </c>
      <c r="P132" s="9" t="n">
        <f aca="false">Resultados!$B$19*$B132-Resultados!$B$20*$B132-Premissas!$B$24-Resultados!$B$19*$B132*(Premissas!$B$14/100)</f>
        <v>24432.4</v>
      </c>
      <c r="Q132" s="9" t="n">
        <f aca="false">P132-$C132</f>
        <v>24432.4</v>
      </c>
      <c r="R132" s="9" t="n">
        <f aca="false">R131+Q132</f>
        <v>2719906.27999999</v>
      </c>
      <c r="S132" s="37" t="str">
        <f aca="false">IF(AND(R131&lt;0,R132&gt;=0,A132&lt;=MAX(120,Premissas!$B$15*12)),(A132-1)+(-R131)/Q132,"")</f>
        <v/>
      </c>
    </row>
    <row r="133" customFormat="false" ht="15" hidden="false" customHeight="false" outlineLevel="0" collapsed="false">
      <c r="A133" s="10" t="n">
        <f aca="false">A132+1</f>
        <v>129</v>
      </c>
      <c r="B133" s="36" t="n">
        <f aca="false">IF(Premissas!$B$9&lt;=1,1,MIN(1,Premissas!$B$8/100+(1-Premissas!$B$8/100)*(A133-1)/(Premissas!$B$9-1)))</f>
        <v>1</v>
      </c>
      <c r="C133" s="9" t="n">
        <f aca="false">IF(A133&lt;=Resultados!$B$9,Resultados!$B$10,0)</f>
        <v>0</v>
      </c>
      <c r="D133" s="9" t="n">
        <f aca="false">Resultados!$E$37*$B133-Resultados!$F$37*$B133-Premissas!$B$24-Resultados!$E$37*$B133*(Premissas!$B$14/100)</f>
        <v>19027</v>
      </c>
      <c r="E133" s="9" t="n">
        <f aca="false">D133-$C133</f>
        <v>19027</v>
      </c>
      <c r="F133" s="9" t="n">
        <f aca="false">F132+E133</f>
        <v>2064879.9</v>
      </c>
      <c r="G133" s="37" t="str">
        <f aca="false">IF(AND(F132&lt;0,F133&gt;=0,A133&lt;=MAX(120,Premissas!$B$15*12)),(A133-1)+(-F132)/E133,"")</f>
        <v/>
      </c>
      <c r="H133" s="9" t="n">
        <f aca="false">Resultados!$E$38*$B133-Resultados!$F$38*$B133-Premissas!$B$24-Resultados!$E$38*$B133*(Premissas!$B$14/100)</f>
        <v>24432.4</v>
      </c>
      <c r="I133" s="9" t="n">
        <f aca="false">H133-$C133</f>
        <v>24432.4</v>
      </c>
      <c r="J133" s="9" t="n">
        <f aca="false">J132+I133</f>
        <v>2744338.67999999</v>
      </c>
      <c r="K133" s="37" t="str">
        <f aca="false">IF(AND(J132&lt;0,J133&gt;=0,A133&lt;=MAX(120,Premissas!$B$15*12)),(A133-1)+(-J132)/I133,"")</f>
        <v/>
      </c>
      <c r="L133" s="9" t="n">
        <f aca="false">Resultados!$E$39*$B133-Resultados!$F$39*$B133-Premissas!$B$24-Resultados!$E$39*$B133*(Premissas!$B$14/100)</f>
        <v>29837.8</v>
      </c>
      <c r="M133" s="9" t="n">
        <f aca="false">L133-$C133</f>
        <v>29837.8</v>
      </c>
      <c r="N133" s="9" t="n">
        <f aca="false">N132+M133</f>
        <v>3423797.45999999</v>
      </c>
      <c r="O133" s="37" t="str">
        <f aca="false">IF(AND(N132&lt;0,N133&gt;=0,A133&lt;=MAX(120,Premissas!$B$15*12)),(A133-1)+(-N132)/M133,"")</f>
        <v/>
      </c>
      <c r="P133" s="9" t="n">
        <f aca="false">Resultados!$B$19*$B133-Resultados!$B$20*$B133-Premissas!$B$24-Resultados!$B$19*$B133*(Premissas!$B$14/100)</f>
        <v>24432.4</v>
      </c>
      <c r="Q133" s="9" t="n">
        <f aca="false">P133-$C133</f>
        <v>24432.4</v>
      </c>
      <c r="R133" s="9" t="n">
        <f aca="false">R132+Q133</f>
        <v>2744338.67999999</v>
      </c>
      <c r="S133" s="37" t="str">
        <f aca="false">IF(AND(R132&lt;0,R133&gt;=0,A133&lt;=MAX(120,Premissas!$B$15*12)),(A133-1)+(-R132)/Q133,"")</f>
        <v/>
      </c>
    </row>
    <row r="134" customFormat="false" ht="15" hidden="false" customHeight="false" outlineLevel="0" collapsed="false">
      <c r="A134" s="10" t="n">
        <f aca="false">A133+1</f>
        <v>130</v>
      </c>
      <c r="B134" s="36" t="n">
        <f aca="false">IF(Premissas!$B$9&lt;=1,1,MIN(1,Premissas!$B$8/100+(1-Premissas!$B$8/100)*(A134-1)/(Premissas!$B$9-1)))</f>
        <v>1</v>
      </c>
      <c r="C134" s="9" t="n">
        <f aca="false">IF(A134&lt;=Resultados!$B$9,Resultados!$B$10,0)</f>
        <v>0</v>
      </c>
      <c r="D134" s="9" t="n">
        <f aca="false">Resultados!$E$37*$B134-Resultados!$F$37*$B134-Premissas!$B$24-Resultados!$E$37*$B134*(Premissas!$B$14/100)</f>
        <v>19027</v>
      </c>
      <c r="E134" s="9" t="n">
        <f aca="false">D134-$C134</f>
        <v>19027</v>
      </c>
      <c r="F134" s="9" t="n">
        <f aca="false">F133+E134</f>
        <v>2083906.9</v>
      </c>
      <c r="G134" s="37" t="str">
        <f aca="false">IF(AND(F133&lt;0,F134&gt;=0,A134&lt;=MAX(120,Premissas!$B$15*12)),(A134-1)+(-F133)/E134,"")</f>
        <v/>
      </c>
      <c r="H134" s="9" t="n">
        <f aca="false">Resultados!$E$38*$B134-Resultados!$F$38*$B134-Premissas!$B$24-Resultados!$E$38*$B134*(Premissas!$B$14/100)</f>
        <v>24432.4</v>
      </c>
      <c r="I134" s="9" t="n">
        <f aca="false">H134-$C134</f>
        <v>24432.4</v>
      </c>
      <c r="J134" s="9" t="n">
        <f aca="false">J133+I134</f>
        <v>2768771.07999999</v>
      </c>
      <c r="K134" s="37" t="str">
        <f aca="false">IF(AND(J133&lt;0,J134&gt;=0,A134&lt;=MAX(120,Premissas!$B$15*12)),(A134-1)+(-J133)/I134,"")</f>
        <v/>
      </c>
      <c r="L134" s="9" t="n">
        <f aca="false">Resultados!$E$39*$B134-Resultados!$F$39*$B134-Premissas!$B$24-Resultados!$E$39*$B134*(Premissas!$B$14/100)</f>
        <v>29837.8</v>
      </c>
      <c r="M134" s="9" t="n">
        <f aca="false">L134-$C134</f>
        <v>29837.8</v>
      </c>
      <c r="N134" s="9" t="n">
        <f aca="false">N133+M134</f>
        <v>3453635.25999999</v>
      </c>
      <c r="O134" s="37" t="str">
        <f aca="false">IF(AND(N133&lt;0,N134&gt;=0,A134&lt;=MAX(120,Premissas!$B$15*12)),(A134-1)+(-N133)/M134,"")</f>
        <v/>
      </c>
      <c r="P134" s="9" t="n">
        <f aca="false">Resultados!$B$19*$B134-Resultados!$B$20*$B134-Premissas!$B$24-Resultados!$B$19*$B134*(Premissas!$B$14/100)</f>
        <v>24432.4</v>
      </c>
      <c r="Q134" s="9" t="n">
        <f aca="false">P134-$C134</f>
        <v>24432.4</v>
      </c>
      <c r="R134" s="9" t="n">
        <f aca="false">R133+Q134</f>
        <v>2768771.07999999</v>
      </c>
      <c r="S134" s="37" t="str">
        <f aca="false">IF(AND(R133&lt;0,R134&gt;=0,A134&lt;=MAX(120,Premissas!$B$15*12)),(A134-1)+(-R133)/Q134,"")</f>
        <v/>
      </c>
    </row>
    <row r="135" customFormat="false" ht="15" hidden="false" customHeight="false" outlineLevel="0" collapsed="false">
      <c r="A135" s="10" t="n">
        <f aca="false">A134+1</f>
        <v>131</v>
      </c>
      <c r="B135" s="36" t="n">
        <f aca="false">IF(Premissas!$B$9&lt;=1,1,MIN(1,Premissas!$B$8/100+(1-Premissas!$B$8/100)*(A135-1)/(Premissas!$B$9-1)))</f>
        <v>1</v>
      </c>
      <c r="C135" s="9" t="n">
        <f aca="false">IF(A135&lt;=Resultados!$B$9,Resultados!$B$10,0)</f>
        <v>0</v>
      </c>
      <c r="D135" s="9" t="n">
        <f aca="false">Resultados!$E$37*$B135-Resultados!$F$37*$B135-Premissas!$B$24-Resultados!$E$37*$B135*(Premissas!$B$14/100)</f>
        <v>19027</v>
      </c>
      <c r="E135" s="9" t="n">
        <f aca="false">D135-$C135</f>
        <v>19027</v>
      </c>
      <c r="F135" s="9" t="n">
        <f aca="false">F134+E135</f>
        <v>2102933.9</v>
      </c>
      <c r="G135" s="37" t="str">
        <f aca="false">IF(AND(F134&lt;0,F135&gt;=0,A135&lt;=MAX(120,Premissas!$B$15*12)),(A135-1)+(-F134)/E135,"")</f>
        <v/>
      </c>
      <c r="H135" s="9" t="n">
        <f aca="false">Resultados!$E$38*$B135-Resultados!$F$38*$B135-Premissas!$B$24-Resultados!$E$38*$B135*(Premissas!$B$14/100)</f>
        <v>24432.4</v>
      </c>
      <c r="I135" s="9" t="n">
        <f aca="false">H135-$C135</f>
        <v>24432.4</v>
      </c>
      <c r="J135" s="9" t="n">
        <f aca="false">J134+I135</f>
        <v>2793203.47999999</v>
      </c>
      <c r="K135" s="37" t="str">
        <f aca="false">IF(AND(J134&lt;0,J135&gt;=0,A135&lt;=MAX(120,Premissas!$B$15*12)),(A135-1)+(-J134)/I135,"")</f>
        <v/>
      </c>
      <c r="L135" s="9" t="n">
        <f aca="false">Resultados!$E$39*$B135-Resultados!$F$39*$B135-Premissas!$B$24-Resultados!$E$39*$B135*(Premissas!$B$14/100)</f>
        <v>29837.8</v>
      </c>
      <c r="M135" s="9" t="n">
        <f aca="false">L135-$C135</f>
        <v>29837.8</v>
      </c>
      <c r="N135" s="9" t="n">
        <f aca="false">N134+M135</f>
        <v>3483473.05999999</v>
      </c>
      <c r="O135" s="37" t="str">
        <f aca="false">IF(AND(N134&lt;0,N135&gt;=0,A135&lt;=MAX(120,Premissas!$B$15*12)),(A135-1)+(-N134)/M135,"")</f>
        <v/>
      </c>
      <c r="P135" s="9" t="n">
        <f aca="false">Resultados!$B$19*$B135-Resultados!$B$20*$B135-Premissas!$B$24-Resultados!$B$19*$B135*(Premissas!$B$14/100)</f>
        <v>24432.4</v>
      </c>
      <c r="Q135" s="9" t="n">
        <f aca="false">P135-$C135</f>
        <v>24432.4</v>
      </c>
      <c r="R135" s="9" t="n">
        <f aca="false">R134+Q135</f>
        <v>2793203.47999999</v>
      </c>
      <c r="S135" s="37" t="str">
        <f aca="false">IF(AND(R134&lt;0,R135&gt;=0,A135&lt;=MAX(120,Premissas!$B$15*12)),(A135-1)+(-R134)/Q135,"")</f>
        <v/>
      </c>
    </row>
    <row r="136" customFormat="false" ht="15" hidden="false" customHeight="false" outlineLevel="0" collapsed="false">
      <c r="A136" s="10" t="n">
        <f aca="false">A135+1</f>
        <v>132</v>
      </c>
      <c r="B136" s="36" t="n">
        <f aca="false">IF(Premissas!$B$9&lt;=1,1,MIN(1,Premissas!$B$8/100+(1-Premissas!$B$8/100)*(A136-1)/(Premissas!$B$9-1)))</f>
        <v>1</v>
      </c>
      <c r="C136" s="9" t="n">
        <f aca="false">IF(A136&lt;=Resultados!$B$9,Resultados!$B$10,0)</f>
        <v>0</v>
      </c>
      <c r="D136" s="9" t="n">
        <f aca="false">Resultados!$E$37*$B136-Resultados!$F$37*$B136-Premissas!$B$24-Resultados!$E$37*$B136*(Premissas!$B$14/100)</f>
        <v>19027</v>
      </c>
      <c r="E136" s="9" t="n">
        <f aca="false">D136-$C136</f>
        <v>19027</v>
      </c>
      <c r="F136" s="9" t="n">
        <f aca="false">F135+E136</f>
        <v>2121960.9</v>
      </c>
      <c r="G136" s="37" t="str">
        <f aca="false">IF(AND(F135&lt;0,F136&gt;=0,A136&lt;=MAX(120,Premissas!$B$15*12)),(A136-1)+(-F135)/E136,"")</f>
        <v/>
      </c>
      <c r="H136" s="9" t="n">
        <f aca="false">Resultados!$E$38*$B136-Resultados!$F$38*$B136-Premissas!$B$24-Resultados!$E$38*$B136*(Premissas!$B$14/100)</f>
        <v>24432.4</v>
      </c>
      <c r="I136" s="9" t="n">
        <f aca="false">H136-$C136</f>
        <v>24432.4</v>
      </c>
      <c r="J136" s="9" t="n">
        <f aca="false">J135+I136</f>
        <v>2817635.87999999</v>
      </c>
      <c r="K136" s="37" t="str">
        <f aca="false">IF(AND(J135&lt;0,J136&gt;=0,A136&lt;=MAX(120,Premissas!$B$15*12)),(A136-1)+(-J135)/I136,"")</f>
        <v/>
      </c>
      <c r="L136" s="9" t="n">
        <f aca="false">Resultados!$E$39*$B136-Resultados!$F$39*$B136-Premissas!$B$24-Resultados!$E$39*$B136*(Premissas!$B$14/100)</f>
        <v>29837.8</v>
      </c>
      <c r="M136" s="9" t="n">
        <f aca="false">L136-$C136</f>
        <v>29837.8</v>
      </c>
      <c r="N136" s="9" t="n">
        <f aca="false">N135+M136</f>
        <v>3513310.85999999</v>
      </c>
      <c r="O136" s="37" t="str">
        <f aca="false">IF(AND(N135&lt;0,N136&gt;=0,A136&lt;=MAX(120,Premissas!$B$15*12)),(A136-1)+(-N135)/M136,"")</f>
        <v/>
      </c>
      <c r="P136" s="9" t="n">
        <f aca="false">Resultados!$B$19*$B136-Resultados!$B$20*$B136-Premissas!$B$24-Resultados!$B$19*$B136*(Premissas!$B$14/100)</f>
        <v>24432.4</v>
      </c>
      <c r="Q136" s="9" t="n">
        <f aca="false">P136-$C136</f>
        <v>24432.4</v>
      </c>
      <c r="R136" s="9" t="n">
        <f aca="false">R135+Q136</f>
        <v>2817635.87999999</v>
      </c>
      <c r="S136" s="37" t="str">
        <f aca="false">IF(AND(R135&lt;0,R136&gt;=0,A136&lt;=MAX(120,Premissas!$B$15*12)),(A136-1)+(-R135)/Q136,"")</f>
        <v/>
      </c>
    </row>
    <row r="137" customFormat="false" ht="15" hidden="false" customHeight="false" outlineLevel="0" collapsed="false">
      <c r="A137" s="10" t="n">
        <f aca="false">A136+1</f>
        <v>133</v>
      </c>
      <c r="B137" s="36" t="n">
        <f aca="false">IF(Premissas!$B$9&lt;=1,1,MIN(1,Premissas!$B$8/100+(1-Premissas!$B$8/100)*(A137-1)/(Premissas!$B$9-1)))</f>
        <v>1</v>
      </c>
      <c r="C137" s="9" t="n">
        <f aca="false">IF(A137&lt;=Resultados!$B$9,Resultados!$B$10,0)</f>
        <v>0</v>
      </c>
      <c r="D137" s="9" t="n">
        <f aca="false">Resultados!$E$37*$B137-Resultados!$F$37*$B137-Premissas!$B$24-Resultados!$E$37*$B137*(Premissas!$B$14/100)</f>
        <v>19027</v>
      </c>
      <c r="E137" s="9" t="n">
        <f aca="false">D137-$C137</f>
        <v>19027</v>
      </c>
      <c r="F137" s="9" t="n">
        <f aca="false">F136+E137</f>
        <v>2140987.9</v>
      </c>
      <c r="G137" s="37" t="str">
        <f aca="false">IF(AND(F136&lt;0,F137&gt;=0,A137&lt;=MAX(120,Premissas!$B$15*12)),(A137-1)+(-F136)/E137,"")</f>
        <v/>
      </c>
      <c r="H137" s="9" t="n">
        <f aca="false">Resultados!$E$38*$B137-Resultados!$F$38*$B137-Premissas!$B$24-Resultados!$E$38*$B137*(Premissas!$B$14/100)</f>
        <v>24432.4</v>
      </c>
      <c r="I137" s="9" t="n">
        <f aca="false">H137-$C137</f>
        <v>24432.4</v>
      </c>
      <c r="J137" s="9" t="n">
        <f aca="false">J136+I137</f>
        <v>2842068.27999999</v>
      </c>
      <c r="K137" s="37" t="str">
        <f aca="false">IF(AND(J136&lt;0,J137&gt;=0,A137&lt;=MAX(120,Premissas!$B$15*12)),(A137-1)+(-J136)/I137,"")</f>
        <v/>
      </c>
      <c r="L137" s="9" t="n">
        <f aca="false">Resultados!$E$39*$B137-Resultados!$F$39*$B137-Premissas!$B$24-Resultados!$E$39*$B137*(Premissas!$B$14/100)</f>
        <v>29837.8</v>
      </c>
      <c r="M137" s="9" t="n">
        <f aca="false">L137-$C137</f>
        <v>29837.8</v>
      </c>
      <c r="N137" s="9" t="n">
        <f aca="false">N136+M137</f>
        <v>3543148.65999999</v>
      </c>
      <c r="O137" s="37" t="str">
        <f aca="false">IF(AND(N136&lt;0,N137&gt;=0,A137&lt;=MAX(120,Premissas!$B$15*12)),(A137-1)+(-N136)/M137,"")</f>
        <v/>
      </c>
      <c r="P137" s="9" t="n">
        <f aca="false">Resultados!$B$19*$B137-Resultados!$B$20*$B137-Premissas!$B$24-Resultados!$B$19*$B137*(Premissas!$B$14/100)</f>
        <v>24432.4</v>
      </c>
      <c r="Q137" s="9" t="n">
        <f aca="false">P137-$C137</f>
        <v>24432.4</v>
      </c>
      <c r="R137" s="9" t="n">
        <f aca="false">R136+Q137</f>
        <v>2842068.27999999</v>
      </c>
      <c r="S137" s="37" t="str">
        <f aca="false">IF(AND(R136&lt;0,R137&gt;=0,A137&lt;=MAX(120,Premissas!$B$15*12)),(A137-1)+(-R136)/Q137,"")</f>
        <v/>
      </c>
    </row>
    <row r="138" customFormat="false" ht="15" hidden="false" customHeight="false" outlineLevel="0" collapsed="false">
      <c r="A138" s="10" t="n">
        <f aca="false">A137+1</f>
        <v>134</v>
      </c>
      <c r="B138" s="36" t="n">
        <f aca="false">IF(Premissas!$B$9&lt;=1,1,MIN(1,Premissas!$B$8/100+(1-Premissas!$B$8/100)*(A138-1)/(Premissas!$B$9-1)))</f>
        <v>1</v>
      </c>
      <c r="C138" s="9" t="n">
        <f aca="false">IF(A138&lt;=Resultados!$B$9,Resultados!$B$10,0)</f>
        <v>0</v>
      </c>
      <c r="D138" s="9" t="n">
        <f aca="false">Resultados!$E$37*$B138-Resultados!$F$37*$B138-Premissas!$B$24-Resultados!$E$37*$B138*(Premissas!$B$14/100)</f>
        <v>19027</v>
      </c>
      <c r="E138" s="9" t="n">
        <f aca="false">D138-$C138</f>
        <v>19027</v>
      </c>
      <c r="F138" s="9" t="n">
        <f aca="false">F137+E138</f>
        <v>2160014.9</v>
      </c>
      <c r="G138" s="37" t="str">
        <f aca="false">IF(AND(F137&lt;0,F138&gt;=0,A138&lt;=MAX(120,Premissas!$B$15*12)),(A138-1)+(-F137)/E138,"")</f>
        <v/>
      </c>
      <c r="H138" s="9" t="n">
        <f aca="false">Resultados!$E$38*$B138-Resultados!$F$38*$B138-Premissas!$B$24-Resultados!$E$38*$B138*(Premissas!$B$14/100)</f>
        <v>24432.4</v>
      </c>
      <c r="I138" s="9" t="n">
        <f aca="false">H138-$C138</f>
        <v>24432.4</v>
      </c>
      <c r="J138" s="9" t="n">
        <f aca="false">J137+I138</f>
        <v>2866500.67999999</v>
      </c>
      <c r="K138" s="37" t="str">
        <f aca="false">IF(AND(J137&lt;0,J138&gt;=0,A138&lt;=MAX(120,Premissas!$B$15*12)),(A138-1)+(-J137)/I138,"")</f>
        <v/>
      </c>
      <c r="L138" s="9" t="n">
        <f aca="false">Resultados!$E$39*$B138-Resultados!$F$39*$B138-Premissas!$B$24-Resultados!$E$39*$B138*(Premissas!$B$14/100)</f>
        <v>29837.8</v>
      </c>
      <c r="M138" s="9" t="n">
        <f aca="false">L138-$C138</f>
        <v>29837.8</v>
      </c>
      <c r="N138" s="9" t="n">
        <f aca="false">N137+M138</f>
        <v>3572986.45999999</v>
      </c>
      <c r="O138" s="37" t="str">
        <f aca="false">IF(AND(N137&lt;0,N138&gt;=0,A138&lt;=MAX(120,Premissas!$B$15*12)),(A138-1)+(-N137)/M138,"")</f>
        <v/>
      </c>
      <c r="P138" s="9" t="n">
        <f aca="false">Resultados!$B$19*$B138-Resultados!$B$20*$B138-Premissas!$B$24-Resultados!$B$19*$B138*(Premissas!$B$14/100)</f>
        <v>24432.4</v>
      </c>
      <c r="Q138" s="9" t="n">
        <f aca="false">P138-$C138</f>
        <v>24432.4</v>
      </c>
      <c r="R138" s="9" t="n">
        <f aca="false">R137+Q138</f>
        <v>2866500.67999999</v>
      </c>
      <c r="S138" s="37" t="str">
        <f aca="false">IF(AND(R137&lt;0,R138&gt;=0,A138&lt;=MAX(120,Premissas!$B$15*12)),(A138-1)+(-R137)/Q138,"")</f>
        <v/>
      </c>
    </row>
    <row r="139" customFormat="false" ht="15" hidden="false" customHeight="false" outlineLevel="0" collapsed="false">
      <c r="A139" s="10" t="n">
        <f aca="false">A138+1</f>
        <v>135</v>
      </c>
      <c r="B139" s="36" t="n">
        <f aca="false">IF(Premissas!$B$9&lt;=1,1,MIN(1,Premissas!$B$8/100+(1-Premissas!$B$8/100)*(A139-1)/(Premissas!$B$9-1)))</f>
        <v>1</v>
      </c>
      <c r="C139" s="9" t="n">
        <f aca="false">IF(A139&lt;=Resultados!$B$9,Resultados!$B$10,0)</f>
        <v>0</v>
      </c>
      <c r="D139" s="9" t="n">
        <f aca="false">Resultados!$E$37*$B139-Resultados!$F$37*$B139-Premissas!$B$24-Resultados!$E$37*$B139*(Premissas!$B$14/100)</f>
        <v>19027</v>
      </c>
      <c r="E139" s="9" t="n">
        <f aca="false">D139-$C139</f>
        <v>19027</v>
      </c>
      <c r="F139" s="9" t="n">
        <f aca="false">F138+E139</f>
        <v>2179041.9</v>
      </c>
      <c r="G139" s="37" t="str">
        <f aca="false">IF(AND(F138&lt;0,F139&gt;=0,A139&lt;=MAX(120,Premissas!$B$15*12)),(A139-1)+(-F138)/E139,"")</f>
        <v/>
      </c>
      <c r="H139" s="9" t="n">
        <f aca="false">Resultados!$E$38*$B139-Resultados!$F$38*$B139-Premissas!$B$24-Resultados!$E$38*$B139*(Premissas!$B$14/100)</f>
        <v>24432.4</v>
      </c>
      <c r="I139" s="9" t="n">
        <f aca="false">H139-$C139</f>
        <v>24432.4</v>
      </c>
      <c r="J139" s="9" t="n">
        <f aca="false">J138+I139</f>
        <v>2890933.07999999</v>
      </c>
      <c r="K139" s="37" t="str">
        <f aca="false">IF(AND(J138&lt;0,J139&gt;=0,A139&lt;=MAX(120,Premissas!$B$15*12)),(A139-1)+(-J138)/I139,"")</f>
        <v/>
      </c>
      <c r="L139" s="9" t="n">
        <f aca="false">Resultados!$E$39*$B139-Resultados!$F$39*$B139-Premissas!$B$24-Resultados!$E$39*$B139*(Premissas!$B$14/100)</f>
        <v>29837.8</v>
      </c>
      <c r="M139" s="9" t="n">
        <f aca="false">L139-$C139</f>
        <v>29837.8</v>
      </c>
      <c r="N139" s="9" t="n">
        <f aca="false">N138+M139</f>
        <v>3602824.25999999</v>
      </c>
      <c r="O139" s="37" t="str">
        <f aca="false">IF(AND(N138&lt;0,N139&gt;=0,A139&lt;=MAX(120,Premissas!$B$15*12)),(A139-1)+(-N138)/M139,"")</f>
        <v/>
      </c>
      <c r="P139" s="9" t="n">
        <f aca="false">Resultados!$B$19*$B139-Resultados!$B$20*$B139-Premissas!$B$24-Resultados!$B$19*$B139*(Premissas!$B$14/100)</f>
        <v>24432.4</v>
      </c>
      <c r="Q139" s="9" t="n">
        <f aca="false">P139-$C139</f>
        <v>24432.4</v>
      </c>
      <c r="R139" s="9" t="n">
        <f aca="false">R138+Q139</f>
        <v>2890933.07999999</v>
      </c>
      <c r="S139" s="37" t="str">
        <f aca="false">IF(AND(R138&lt;0,R139&gt;=0,A139&lt;=MAX(120,Premissas!$B$15*12)),(A139-1)+(-R138)/Q139,"")</f>
        <v/>
      </c>
    </row>
    <row r="140" customFormat="false" ht="15" hidden="false" customHeight="false" outlineLevel="0" collapsed="false">
      <c r="A140" s="10" t="n">
        <f aca="false">A139+1</f>
        <v>136</v>
      </c>
      <c r="B140" s="36" t="n">
        <f aca="false">IF(Premissas!$B$9&lt;=1,1,MIN(1,Premissas!$B$8/100+(1-Premissas!$B$8/100)*(A140-1)/(Premissas!$B$9-1)))</f>
        <v>1</v>
      </c>
      <c r="C140" s="9" t="n">
        <f aca="false">IF(A140&lt;=Resultados!$B$9,Resultados!$B$10,0)</f>
        <v>0</v>
      </c>
      <c r="D140" s="9" t="n">
        <f aca="false">Resultados!$E$37*$B140-Resultados!$F$37*$B140-Premissas!$B$24-Resultados!$E$37*$B140*(Premissas!$B$14/100)</f>
        <v>19027</v>
      </c>
      <c r="E140" s="9" t="n">
        <f aca="false">D140-$C140</f>
        <v>19027</v>
      </c>
      <c r="F140" s="9" t="n">
        <f aca="false">F139+E140</f>
        <v>2198068.9</v>
      </c>
      <c r="G140" s="37" t="str">
        <f aca="false">IF(AND(F139&lt;0,F140&gt;=0,A140&lt;=MAX(120,Premissas!$B$15*12)),(A140-1)+(-F139)/E140,"")</f>
        <v/>
      </c>
      <c r="H140" s="9" t="n">
        <f aca="false">Resultados!$E$38*$B140-Resultados!$F$38*$B140-Premissas!$B$24-Resultados!$E$38*$B140*(Premissas!$B$14/100)</f>
        <v>24432.4</v>
      </c>
      <c r="I140" s="9" t="n">
        <f aca="false">H140-$C140</f>
        <v>24432.4</v>
      </c>
      <c r="J140" s="9" t="n">
        <f aca="false">J139+I140</f>
        <v>2915365.47999999</v>
      </c>
      <c r="K140" s="37" t="str">
        <f aca="false">IF(AND(J139&lt;0,J140&gt;=0,A140&lt;=MAX(120,Premissas!$B$15*12)),(A140-1)+(-J139)/I140,"")</f>
        <v/>
      </c>
      <c r="L140" s="9" t="n">
        <f aca="false">Resultados!$E$39*$B140-Resultados!$F$39*$B140-Premissas!$B$24-Resultados!$E$39*$B140*(Premissas!$B$14/100)</f>
        <v>29837.8</v>
      </c>
      <c r="M140" s="9" t="n">
        <f aca="false">L140-$C140</f>
        <v>29837.8</v>
      </c>
      <c r="N140" s="9" t="n">
        <f aca="false">N139+M140</f>
        <v>3632662.05999999</v>
      </c>
      <c r="O140" s="37" t="str">
        <f aca="false">IF(AND(N139&lt;0,N140&gt;=0,A140&lt;=MAX(120,Premissas!$B$15*12)),(A140-1)+(-N139)/M140,"")</f>
        <v/>
      </c>
      <c r="P140" s="9" t="n">
        <f aca="false">Resultados!$B$19*$B140-Resultados!$B$20*$B140-Premissas!$B$24-Resultados!$B$19*$B140*(Premissas!$B$14/100)</f>
        <v>24432.4</v>
      </c>
      <c r="Q140" s="9" t="n">
        <f aca="false">P140-$C140</f>
        <v>24432.4</v>
      </c>
      <c r="R140" s="9" t="n">
        <f aca="false">R139+Q140</f>
        <v>2915365.47999999</v>
      </c>
      <c r="S140" s="37" t="str">
        <f aca="false">IF(AND(R139&lt;0,R140&gt;=0,A140&lt;=MAX(120,Premissas!$B$15*12)),(A140-1)+(-R139)/Q140,"")</f>
        <v/>
      </c>
    </row>
    <row r="141" customFormat="false" ht="15" hidden="false" customHeight="false" outlineLevel="0" collapsed="false">
      <c r="A141" s="10" t="n">
        <f aca="false">A140+1</f>
        <v>137</v>
      </c>
      <c r="B141" s="36" t="n">
        <f aca="false">IF(Premissas!$B$9&lt;=1,1,MIN(1,Premissas!$B$8/100+(1-Premissas!$B$8/100)*(A141-1)/(Premissas!$B$9-1)))</f>
        <v>1</v>
      </c>
      <c r="C141" s="9" t="n">
        <f aca="false">IF(A141&lt;=Resultados!$B$9,Resultados!$B$10,0)</f>
        <v>0</v>
      </c>
      <c r="D141" s="9" t="n">
        <f aca="false">Resultados!$E$37*$B141-Resultados!$F$37*$B141-Premissas!$B$24-Resultados!$E$37*$B141*(Premissas!$B$14/100)</f>
        <v>19027</v>
      </c>
      <c r="E141" s="9" t="n">
        <f aca="false">D141-$C141</f>
        <v>19027</v>
      </c>
      <c r="F141" s="9" t="n">
        <f aca="false">F140+E141</f>
        <v>2217095.9</v>
      </c>
      <c r="G141" s="37" t="str">
        <f aca="false">IF(AND(F140&lt;0,F141&gt;=0,A141&lt;=MAX(120,Premissas!$B$15*12)),(A141-1)+(-F140)/E141,"")</f>
        <v/>
      </c>
      <c r="H141" s="9" t="n">
        <f aca="false">Resultados!$E$38*$B141-Resultados!$F$38*$B141-Premissas!$B$24-Resultados!$E$38*$B141*(Premissas!$B$14/100)</f>
        <v>24432.4</v>
      </c>
      <c r="I141" s="9" t="n">
        <f aca="false">H141-$C141</f>
        <v>24432.4</v>
      </c>
      <c r="J141" s="9" t="n">
        <f aca="false">J140+I141</f>
        <v>2939797.87999999</v>
      </c>
      <c r="K141" s="37" t="str">
        <f aca="false">IF(AND(J140&lt;0,J141&gt;=0,A141&lt;=MAX(120,Premissas!$B$15*12)),(A141-1)+(-J140)/I141,"")</f>
        <v/>
      </c>
      <c r="L141" s="9" t="n">
        <f aca="false">Resultados!$E$39*$B141-Resultados!$F$39*$B141-Premissas!$B$24-Resultados!$E$39*$B141*(Premissas!$B$14/100)</f>
        <v>29837.8</v>
      </c>
      <c r="M141" s="9" t="n">
        <f aca="false">L141-$C141</f>
        <v>29837.8</v>
      </c>
      <c r="N141" s="9" t="n">
        <f aca="false">N140+M141</f>
        <v>3662499.85999999</v>
      </c>
      <c r="O141" s="37" t="str">
        <f aca="false">IF(AND(N140&lt;0,N141&gt;=0,A141&lt;=MAX(120,Premissas!$B$15*12)),(A141-1)+(-N140)/M141,"")</f>
        <v/>
      </c>
      <c r="P141" s="9" t="n">
        <f aca="false">Resultados!$B$19*$B141-Resultados!$B$20*$B141-Premissas!$B$24-Resultados!$B$19*$B141*(Premissas!$B$14/100)</f>
        <v>24432.4</v>
      </c>
      <c r="Q141" s="9" t="n">
        <f aca="false">P141-$C141</f>
        <v>24432.4</v>
      </c>
      <c r="R141" s="9" t="n">
        <f aca="false">R140+Q141</f>
        <v>2939797.87999999</v>
      </c>
      <c r="S141" s="37" t="str">
        <f aca="false">IF(AND(R140&lt;0,R141&gt;=0,A141&lt;=MAX(120,Premissas!$B$15*12)),(A141-1)+(-R140)/Q141,"")</f>
        <v/>
      </c>
    </row>
    <row r="142" customFormat="false" ht="15" hidden="false" customHeight="false" outlineLevel="0" collapsed="false">
      <c r="A142" s="10" t="n">
        <f aca="false">A141+1</f>
        <v>138</v>
      </c>
      <c r="B142" s="36" t="n">
        <f aca="false">IF(Premissas!$B$9&lt;=1,1,MIN(1,Premissas!$B$8/100+(1-Premissas!$B$8/100)*(A142-1)/(Premissas!$B$9-1)))</f>
        <v>1</v>
      </c>
      <c r="C142" s="9" t="n">
        <f aca="false">IF(A142&lt;=Resultados!$B$9,Resultados!$B$10,0)</f>
        <v>0</v>
      </c>
      <c r="D142" s="9" t="n">
        <f aca="false">Resultados!$E$37*$B142-Resultados!$F$37*$B142-Premissas!$B$24-Resultados!$E$37*$B142*(Premissas!$B$14/100)</f>
        <v>19027</v>
      </c>
      <c r="E142" s="9" t="n">
        <f aca="false">D142-$C142</f>
        <v>19027</v>
      </c>
      <c r="F142" s="9" t="n">
        <f aca="false">F141+E142</f>
        <v>2236122.9</v>
      </c>
      <c r="G142" s="37" t="str">
        <f aca="false">IF(AND(F141&lt;0,F142&gt;=0,A142&lt;=MAX(120,Premissas!$B$15*12)),(A142-1)+(-F141)/E142,"")</f>
        <v/>
      </c>
      <c r="H142" s="9" t="n">
        <f aca="false">Resultados!$E$38*$B142-Resultados!$F$38*$B142-Premissas!$B$24-Resultados!$E$38*$B142*(Premissas!$B$14/100)</f>
        <v>24432.4</v>
      </c>
      <c r="I142" s="9" t="n">
        <f aca="false">H142-$C142</f>
        <v>24432.4</v>
      </c>
      <c r="J142" s="9" t="n">
        <f aca="false">J141+I142</f>
        <v>2964230.27999999</v>
      </c>
      <c r="K142" s="37" t="str">
        <f aca="false">IF(AND(J141&lt;0,J142&gt;=0,A142&lt;=MAX(120,Premissas!$B$15*12)),(A142-1)+(-J141)/I142,"")</f>
        <v/>
      </c>
      <c r="L142" s="9" t="n">
        <f aca="false">Resultados!$E$39*$B142-Resultados!$F$39*$B142-Premissas!$B$24-Resultados!$E$39*$B142*(Premissas!$B$14/100)</f>
        <v>29837.8</v>
      </c>
      <c r="M142" s="9" t="n">
        <f aca="false">L142-$C142</f>
        <v>29837.8</v>
      </c>
      <c r="N142" s="9" t="n">
        <f aca="false">N141+M142</f>
        <v>3692337.65999999</v>
      </c>
      <c r="O142" s="37" t="str">
        <f aca="false">IF(AND(N141&lt;0,N142&gt;=0,A142&lt;=MAX(120,Premissas!$B$15*12)),(A142-1)+(-N141)/M142,"")</f>
        <v/>
      </c>
      <c r="P142" s="9" t="n">
        <f aca="false">Resultados!$B$19*$B142-Resultados!$B$20*$B142-Premissas!$B$24-Resultados!$B$19*$B142*(Premissas!$B$14/100)</f>
        <v>24432.4</v>
      </c>
      <c r="Q142" s="9" t="n">
        <f aca="false">P142-$C142</f>
        <v>24432.4</v>
      </c>
      <c r="R142" s="9" t="n">
        <f aca="false">R141+Q142</f>
        <v>2964230.27999999</v>
      </c>
      <c r="S142" s="37" t="str">
        <f aca="false">IF(AND(R141&lt;0,R142&gt;=0,A142&lt;=MAX(120,Premissas!$B$15*12)),(A142-1)+(-R141)/Q142,"")</f>
        <v/>
      </c>
    </row>
    <row r="143" customFormat="false" ht="15" hidden="false" customHeight="false" outlineLevel="0" collapsed="false">
      <c r="A143" s="10" t="n">
        <f aca="false">A142+1</f>
        <v>139</v>
      </c>
      <c r="B143" s="36" t="n">
        <f aca="false">IF(Premissas!$B$9&lt;=1,1,MIN(1,Premissas!$B$8/100+(1-Premissas!$B$8/100)*(A143-1)/(Premissas!$B$9-1)))</f>
        <v>1</v>
      </c>
      <c r="C143" s="9" t="n">
        <f aca="false">IF(A143&lt;=Resultados!$B$9,Resultados!$B$10,0)</f>
        <v>0</v>
      </c>
      <c r="D143" s="9" t="n">
        <f aca="false">Resultados!$E$37*$B143-Resultados!$F$37*$B143-Premissas!$B$24-Resultados!$E$37*$B143*(Premissas!$B$14/100)</f>
        <v>19027</v>
      </c>
      <c r="E143" s="9" t="n">
        <f aca="false">D143-$C143</f>
        <v>19027</v>
      </c>
      <c r="F143" s="9" t="n">
        <f aca="false">F142+E143</f>
        <v>2255149.9</v>
      </c>
      <c r="G143" s="37" t="str">
        <f aca="false">IF(AND(F142&lt;0,F143&gt;=0,A143&lt;=MAX(120,Premissas!$B$15*12)),(A143-1)+(-F142)/E143,"")</f>
        <v/>
      </c>
      <c r="H143" s="9" t="n">
        <f aca="false">Resultados!$E$38*$B143-Resultados!$F$38*$B143-Premissas!$B$24-Resultados!$E$38*$B143*(Premissas!$B$14/100)</f>
        <v>24432.4</v>
      </c>
      <c r="I143" s="9" t="n">
        <f aca="false">H143-$C143</f>
        <v>24432.4</v>
      </c>
      <c r="J143" s="9" t="n">
        <f aca="false">J142+I143</f>
        <v>2988662.67999999</v>
      </c>
      <c r="K143" s="37" t="str">
        <f aca="false">IF(AND(J142&lt;0,J143&gt;=0,A143&lt;=MAX(120,Premissas!$B$15*12)),(A143-1)+(-J142)/I143,"")</f>
        <v/>
      </c>
      <c r="L143" s="9" t="n">
        <f aca="false">Resultados!$E$39*$B143-Resultados!$F$39*$B143-Premissas!$B$24-Resultados!$E$39*$B143*(Premissas!$B$14/100)</f>
        <v>29837.8</v>
      </c>
      <c r="M143" s="9" t="n">
        <f aca="false">L143-$C143</f>
        <v>29837.8</v>
      </c>
      <c r="N143" s="9" t="n">
        <f aca="false">N142+M143</f>
        <v>3722175.45999999</v>
      </c>
      <c r="O143" s="37" t="str">
        <f aca="false">IF(AND(N142&lt;0,N143&gt;=0,A143&lt;=MAX(120,Premissas!$B$15*12)),(A143-1)+(-N142)/M143,"")</f>
        <v/>
      </c>
      <c r="P143" s="9" t="n">
        <f aca="false">Resultados!$B$19*$B143-Resultados!$B$20*$B143-Premissas!$B$24-Resultados!$B$19*$B143*(Premissas!$B$14/100)</f>
        <v>24432.4</v>
      </c>
      <c r="Q143" s="9" t="n">
        <f aca="false">P143-$C143</f>
        <v>24432.4</v>
      </c>
      <c r="R143" s="9" t="n">
        <f aca="false">R142+Q143</f>
        <v>2988662.67999999</v>
      </c>
      <c r="S143" s="37" t="str">
        <f aca="false">IF(AND(R142&lt;0,R143&gt;=0,A143&lt;=MAX(120,Premissas!$B$15*12)),(A143-1)+(-R142)/Q143,"")</f>
        <v/>
      </c>
    </row>
    <row r="144" customFormat="false" ht="15" hidden="false" customHeight="false" outlineLevel="0" collapsed="false">
      <c r="A144" s="10" t="n">
        <f aca="false">A143+1</f>
        <v>140</v>
      </c>
      <c r="B144" s="36" t="n">
        <f aca="false">IF(Premissas!$B$9&lt;=1,1,MIN(1,Premissas!$B$8/100+(1-Premissas!$B$8/100)*(A144-1)/(Premissas!$B$9-1)))</f>
        <v>1</v>
      </c>
      <c r="C144" s="9" t="n">
        <f aca="false">IF(A144&lt;=Resultados!$B$9,Resultados!$B$10,0)</f>
        <v>0</v>
      </c>
      <c r="D144" s="9" t="n">
        <f aca="false">Resultados!$E$37*$B144-Resultados!$F$37*$B144-Premissas!$B$24-Resultados!$E$37*$B144*(Premissas!$B$14/100)</f>
        <v>19027</v>
      </c>
      <c r="E144" s="9" t="n">
        <f aca="false">D144-$C144</f>
        <v>19027</v>
      </c>
      <c r="F144" s="9" t="n">
        <f aca="false">F143+E144</f>
        <v>2274176.9</v>
      </c>
      <c r="G144" s="37" t="str">
        <f aca="false">IF(AND(F143&lt;0,F144&gt;=0,A144&lt;=MAX(120,Premissas!$B$15*12)),(A144-1)+(-F143)/E144,"")</f>
        <v/>
      </c>
      <c r="H144" s="9" t="n">
        <f aca="false">Resultados!$E$38*$B144-Resultados!$F$38*$B144-Premissas!$B$24-Resultados!$E$38*$B144*(Premissas!$B$14/100)</f>
        <v>24432.4</v>
      </c>
      <c r="I144" s="9" t="n">
        <f aca="false">H144-$C144</f>
        <v>24432.4</v>
      </c>
      <c r="J144" s="9" t="n">
        <f aca="false">J143+I144</f>
        <v>3013095.07999999</v>
      </c>
      <c r="K144" s="37" t="str">
        <f aca="false">IF(AND(J143&lt;0,J144&gt;=0,A144&lt;=MAX(120,Premissas!$B$15*12)),(A144-1)+(-J143)/I144,"")</f>
        <v/>
      </c>
      <c r="L144" s="9" t="n">
        <f aca="false">Resultados!$E$39*$B144-Resultados!$F$39*$B144-Premissas!$B$24-Resultados!$E$39*$B144*(Premissas!$B$14/100)</f>
        <v>29837.8</v>
      </c>
      <c r="M144" s="9" t="n">
        <f aca="false">L144-$C144</f>
        <v>29837.8</v>
      </c>
      <c r="N144" s="9" t="n">
        <f aca="false">N143+M144</f>
        <v>3752013.25999999</v>
      </c>
      <c r="O144" s="37" t="str">
        <f aca="false">IF(AND(N143&lt;0,N144&gt;=0,A144&lt;=MAX(120,Premissas!$B$15*12)),(A144-1)+(-N143)/M144,"")</f>
        <v/>
      </c>
      <c r="P144" s="9" t="n">
        <f aca="false">Resultados!$B$19*$B144-Resultados!$B$20*$B144-Premissas!$B$24-Resultados!$B$19*$B144*(Premissas!$B$14/100)</f>
        <v>24432.4</v>
      </c>
      <c r="Q144" s="9" t="n">
        <f aca="false">P144-$C144</f>
        <v>24432.4</v>
      </c>
      <c r="R144" s="9" t="n">
        <f aca="false">R143+Q144</f>
        <v>3013095.07999999</v>
      </c>
      <c r="S144" s="37" t="str">
        <f aca="false">IF(AND(R143&lt;0,R144&gt;=0,A144&lt;=MAX(120,Premissas!$B$15*12)),(A144-1)+(-R143)/Q144,"")</f>
        <v/>
      </c>
    </row>
    <row r="145" customFormat="false" ht="15" hidden="false" customHeight="false" outlineLevel="0" collapsed="false">
      <c r="A145" s="10" t="n">
        <f aca="false">A144+1</f>
        <v>141</v>
      </c>
      <c r="B145" s="36" t="n">
        <f aca="false">IF(Premissas!$B$9&lt;=1,1,MIN(1,Premissas!$B$8/100+(1-Premissas!$B$8/100)*(A145-1)/(Premissas!$B$9-1)))</f>
        <v>1</v>
      </c>
      <c r="C145" s="9" t="n">
        <f aca="false">IF(A145&lt;=Resultados!$B$9,Resultados!$B$10,0)</f>
        <v>0</v>
      </c>
      <c r="D145" s="9" t="n">
        <f aca="false">Resultados!$E$37*$B145-Resultados!$F$37*$B145-Premissas!$B$24-Resultados!$E$37*$B145*(Premissas!$B$14/100)</f>
        <v>19027</v>
      </c>
      <c r="E145" s="9" t="n">
        <f aca="false">D145-$C145</f>
        <v>19027</v>
      </c>
      <c r="F145" s="9" t="n">
        <f aca="false">F144+E145</f>
        <v>2293203.9</v>
      </c>
      <c r="G145" s="37" t="str">
        <f aca="false">IF(AND(F144&lt;0,F145&gt;=0,A145&lt;=MAX(120,Premissas!$B$15*12)),(A145-1)+(-F144)/E145,"")</f>
        <v/>
      </c>
      <c r="H145" s="9" t="n">
        <f aca="false">Resultados!$E$38*$B145-Resultados!$F$38*$B145-Premissas!$B$24-Resultados!$E$38*$B145*(Premissas!$B$14/100)</f>
        <v>24432.4</v>
      </c>
      <c r="I145" s="9" t="n">
        <f aca="false">H145-$C145</f>
        <v>24432.4</v>
      </c>
      <c r="J145" s="9" t="n">
        <f aca="false">J144+I145</f>
        <v>3037527.47999999</v>
      </c>
      <c r="K145" s="37" t="str">
        <f aca="false">IF(AND(J144&lt;0,J145&gt;=0,A145&lt;=MAX(120,Premissas!$B$15*12)),(A145-1)+(-J144)/I145,"")</f>
        <v/>
      </c>
      <c r="L145" s="9" t="n">
        <f aca="false">Resultados!$E$39*$B145-Resultados!$F$39*$B145-Premissas!$B$24-Resultados!$E$39*$B145*(Premissas!$B$14/100)</f>
        <v>29837.8</v>
      </c>
      <c r="M145" s="9" t="n">
        <f aca="false">L145-$C145</f>
        <v>29837.8</v>
      </c>
      <c r="N145" s="9" t="n">
        <f aca="false">N144+M145</f>
        <v>3781851.05999999</v>
      </c>
      <c r="O145" s="37" t="str">
        <f aca="false">IF(AND(N144&lt;0,N145&gt;=0,A145&lt;=MAX(120,Premissas!$B$15*12)),(A145-1)+(-N144)/M145,"")</f>
        <v/>
      </c>
      <c r="P145" s="9" t="n">
        <f aca="false">Resultados!$B$19*$B145-Resultados!$B$20*$B145-Premissas!$B$24-Resultados!$B$19*$B145*(Premissas!$B$14/100)</f>
        <v>24432.4</v>
      </c>
      <c r="Q145" s="9" t="n">
        <f aca="false">P145-$C145</f>
        <v>24432.4</v>
      </c>
      <c r="R145" s="9" t="n">
        <f aca="false">R144+Q145</f>
        <v>3037527.47999999</v>
      </c>
      <c r="S145" s="37" t="str">
        <f aca="false">IF(AND(R144&lt;0,R145&gt;=0,A145&lt;=MAX(120,Premissas!$B$15*12)),(A145-1)+(-R144)/Q145,"")</f>
        <v/>
      </c>
    </row>
    <row r="146" customFormat="false" ht="15" hidden="false" customHeight="false" outlineLevel="0" collapsed="false">
      <c r="A146" s="10" t="n">
        <f aca="false">A145+1</f>
        <v>142</v>
      </c>
      <c r="B146" s="36" t="n">
        <f aca="false">IF(Premissas!$B$9&lt;=1,1,MIN(1,Premissas!$B$8/100+(1-Premissas!$B$8/100)*(A146-1)/(Premissas!$B$9-1)))</f>
        <v>1</v>
      </c>
      <c r="C146" s="9" t="n">
        <f aca="false">IF(A146&lt;=Resultados!$B$9,Resultados!$B$10,0)</f>
        <v>0</v>
      </c>
      <c r="D146" s="9" t="n">
        <f aca="false">Resultados!$E$37*$B146-Resultados!$F$37*$B146-Premissas!$B$24-Resultados!$E$37*$B146*(Premissas!$B$14/100)</f>
        <v>19027</v>
      </c>
      <c r="E146" s="9" t="n">
        <f aca="false">D146-$C146</f>
        <v>19027</v>
      </c>
      <c r="F146" s="9" t="n">
        <f aca="false">F145+E146</f>
        <v>2312230.9</v>
      </c>
      <c r="G146" s="37" t="str">
        <f aca="false">IF(AND(F145&lt;0,F146&gt;=0,A146&lt;=MAX(120,Premissas!$B$15*12)),(A146-1)+(-F145)/E146,"")</f>
        <v/>
      </c>
      <c r="H146" s="9" t="n">
        <f aca="false">Resultados!$E$38*$B146-Resultados!$F$38*$B146-Premissas!$B$24-Resultados!$E$38*$B146*(Premissas!$B$14/100)</f>
        <v>24432.4</v>
      </c>
      <c r="I146" s="9" t="n">
        <f aca="false">H146-$C146</f>
        <v>24432.4</v>
      </c>
      <c r="J146" s="9" t="n">
        <f aca="false">J145+I146</f>
        <v>3061959.87999999</v>
      </c>
      <c r="K146" s="37" t="str">
        <f aca="false">IF(AND(J145&lt;0,J146&gt;=0,A146&lt;=MAX(120,Premissas!$B$15*12)),(A146-1)+(-J145)/I146,"")</f>
        <v/>
      </c>
      <c r="L146" s="9" t="n">
        <f aca="false">Resultados!$E$39*$B146-Resultados!$F$39*$B146-Premissas!$B$24-Resultados!$E$39*$B146*(Premissas!$B$14/100)</f>
        <v>29837.8</v>
      </c>
      <c r="M146" s="9" t="n">
        <f aca="false">L146-$C146</f>
        <v>29837.8</v>
      </c>
      <c r="N146" s="9" t="n">
        <f aca="false">N145+M146</f>
        <v>3811688.85999999</v>
      </c>
      <c r="O146" s="37" t="str">
        <f aca="false">IF(AND(N145&lt;0,N146&gt;=0,A146&lt;=MAX(120,Premissas!$B$15*12)),(A146-1)+(-N145)/M146,"")</f>
        <v/>
      </c>
      <c r="P146" s="9" t="n">
        <f aca="false">Resultados!$B$19*$B146-Resultados!$B$20*$B146-Premissas!$B$24-Resultados!$B$19*$B146*(Premissas!$B$14/100)</f>
        <v>24432.4</v>
      </c>
      <c r="Q146" s="9" t="n">
        <f aca="false">P146-$C146</f>
        <v>24432.4</v>
      </c>
      <c r="R146" s="9" t="n">
        <f aca="false">R145+Q146</f>
        <v>3061959.87999999</v>
      </c>
      <c r="S146" s="37" t="str">
        <f aca="false">IF(AND(R145&lt;0,R146&gt;=0,A146&lt;=MAX(120,Premissas!$B$15*12)),(A146-1)+(-R145)/Q146,"")</f>
        <v/>
      </c>
    </row>
    <row r="147" customFormat="false" ht="15" hidden="false" customHeight="false" outlineLevel="0" collapsed="false">
      <c r="A147" s="10" t="n">
        <f aca="false">A146+1</f>
        <v>143</v>
      </c>
      <c r="B147" s="36" t="n">
        <f aca="false">IF(Premissas!$B$9&lt;=1,1,MIN(1,Premissas!$B$8/100+(1-Premissas!$B$8/100)*(A147-1)/(Premissas!$B$9-1)))</f>
        <v>1</v>
      </c>
      <c r="C147" s="9" t="n">
        <f aca="false">IF(A147&lt;=Resultados!$B$9,Resultados!$B$10,0)</f>
        <v>0</v>
      </c>
      <c r="D147" s="9" t="n">
        <f aca="false">Resultados!$E$37*$B147-Resultados!$F$37*$B147-Premissas!$B$24-Resultados!$E$37*$B147*(Premissas!$B$14/100)</f>
        <v>19027</v>
      </c>
      <c r="E147" s="9" t="n">
        <f aca="false">D147-$C147</f>
        <v>19027</v>
      </c>
      <c r="F147" s="9" t="n">
        <f aca="false">F146+E147</f>
        <v>2331257.9</v>
      </c>
      <c r="G147" s="37" t="str">
        <f aca="false">IF(AND(F146&lt;0,F147&gt;=0,A147&lt;=MAX(120,Premissas!$B$15*12)),(A147-1)+(-F146)/E147,"")</f>
        <v/>
      </c>
      <c r="H147" s="9" t="n">
        <f aca="false">Resultados!$E$38*$B147-Resultados!$F$38*$B147-Premissas!$B$24-Resultados!$E$38*$B147*(Premissas!$B$14/100)</f>
        <v>24432.4</v>
      </c>
      <c r="I147" s="9" t="n">
        <f aca="false">H147-$C147</f>
        <v>24432.4</v>
      </c>
      <c r="J147" s="9" t="n">
        <f aca="false">J146+I147</f>
        <v>3086392.27999999</v>
      </c>
      <c r="K147" s="37" t="str">
        <f aca="false">IF(AND(J146&lt;0,J147&gt;=0,A147&lt;=MAX(120,Premissas!$B$15*12)),(A147-1)+(-J146)/I147,"")</f>
        <v/>
      </c>
      <c r="L147" s="9" t="n">
        <f aca="false">Resultados!$E$39*$B147-Resultados!$F$39*$B147-Premissas!$B$24-Resultados!$E$39*$B147*(Premissas!$B$14/100)</f>
        <v>29837.8</v>
      </c>
      <c r="M147" s="9" t="n">
        <f aca="false">L147-$C147</f>
        <v>29837.8</v>
      </c>
      <c r="N147" s="9" t="n">
        <f aca="false">N146+M147</f>
        <v>3841526.65999999</v>
      </c>
      <c r="O147" s="37" t="str">
        <f aca="false">IF(AND(N146&lt;0,N147&gt;=0,A147&lt;=MAX(120,Premissas!$B$15*12)),(A147-1)+(-N146)/M147,"")</f>
        <v/>
      </c>
      <c r="P147" s="9" t="n">
        <f aca="false">Resultados!$B$19*$B147-Resultados!$B$20*$B147-Premissas!$B$24-Resultados!$B$19*$B147*(Premissas!$B$14/100)</f>
        <v>24432.4</v>
      </c>
      <c r="Q147" s="9" t="n">
        <f aca="false">P147-$C147</f>
        <v>24432.4</v>
      </c>
      <c r="R147" s="9" t="n">
        <f aca="false">R146+Q147</f>
        <v>3086392.27999999</v>
      </c>
      <c r="S147" s="37" t="str">
        <f aca="false">IF(AND(R146&lt;0,R147&gt;=0,A147&lt;=MAX(120,Premissas!$B$15*12)),(A147-1)+(-R146)/Q147,"")</f>
        <v/>
      </c>
    </row>
    <row r="148" customFormat="false" ht="15" hidden="false" customHeight="false" outlineLevel="0" collapsed="false">
      <c r="A148" s="10" t="n">
        <f aca="false">A147+1</f>
        <v>144</v>
      </c>
      <c r="B148" s="36" t="n">
        <f aca="false">IF(Premissas!$B$9&lt;=1,1,MIN(1,Premissas!$B$8/100+(1-Premissas!$B$8/100)*(A148-1)/(Premissas!$B$9-1)))</f>
        <v>1</v>
      </c>
      <c r="C148" s="9" t="n">
        <f aca="false">IF(A148&lt;=Resultados!$B$9,Resultados!$B$10,0)</f>
        <v>0</v>
      </c>
      <c r="D148" s="9" t="n">
        <f aca="false">Resultados!$E$37*$B148-Resultados!$F$37*$B148-Premissas!$B$24-Resultados!$E$37*$B148*(Premissas!$B$14/100)</f>
        <v>19027</v>
      </c>
      <c r="E148" s="9" t="n">
        <f aca="false">D148-$C148</f>
        <v>19027</v>
      </c>
      <c r="F148" s="9" t="n">
        <f aca="false">F147+E148</f>
        <v>2350284.9</v>
      </c>
      <c r="G148" s="37" t="str">
        <f aca="false">IF(AND(F147&lt;0,F148&gt;=0,A148&lt;=MAX(120,Premissas!$B$15*12)),(A148-1)+(-F147)/E148,"")</f>
        <v/>
      </c>
      <c r="H148" s="9" t="n">
        <f aca="false">Resultados!$E$38*$B148-Resultados!$F$38*$B148-Premissas!$B$24-Resultados!$E$38*$B148*(Premissas!$B$14/100)</f>
        <v>24432.4</v>
      </c>
      <c r="I148" s="9" t="n">
        <f aca="false">H148-$C148</f>
        <v>24432.4</v>
      </c>
      <c r="J148" s="9" t="n">
        <f aca="false">J147+I148</f>
        <v>3110824.67999999</v>
      </c>
      <c r="K148" s="37" t="str">
        <f aca="false">IF(AND(J147&lt;0,J148&gt;=0,A148&lt;=MAX(120,Premissas!$B$15*12)),(A148-1)+(-J147)/I148,"")</f>
        <v/>
      </c>
      <c r="L148" s="9" t="n">
        <f aca="false">Resultados!$E$39*$B148-Resultados!$F$39*$B148-Premissas!$B$24-Resultados!$E$39*$B148*(Premissas!$B$14/100)</f>
        <v>29837.8</v>
      </c>
      <c r="M148" s="9" t="n">
        <f aca="false">L148-$C148</f>
        <v>29837.8</v>
      </c>
      <c r="N148" s="9" t="n">
        <f aca="false">N147+M148</f>
        <v>3871364.45999999</v>
      </c>
      <c r="O148" s="37" t="str">
        <f aca="false">IF(AND(N147&lt;0,N148&gt;=0,A148&lt;=MAX(120,Premissas!$B$15*12)),(A148-1)+(-N147)/M148,"")</f>
        <v/>
      </c>
      <c r="P148" s="9" t="n">
        <f aca="false">Resultados!$B$19*$B148-Resultados!$B$20*$B148-Premissas!$B$24-Resultados!$B$19*$B148*(Premissas!$B$14/100)</f>
        <v>24432.4</v>
      </c>
      <c r="Q148" s="9" t="n">
        <f aca="false">P148-$C148</f>
        <v>24432.4</v>
      </c>
      <c r="R148" s="9" t="n">
        <f aca="false">R147+Q148</f>
        <v>3110824.67999999</v>
      </c>
      <c r="S148" s="37" t="str">
        <f aca="false">IF(AND(R147&lt;0,R148&gt;=0,A148&lt;=MAX(120,Premissas!$B$15*12)),(A148-1)+(-R147)/Q148,"")</f>
        <v/>
      </c>
    </row>
    <row r="149" customFormat="false" ht="15" hidden="false" customHeight="false" outlineLevel="0" collapsed="false">
      <c r="A149" s="10" t="n">
        <f aca="false">A148+1</f>
        <v>145</v>
      </c>
      <c r="B149" s="36" t="n">
        <f aca="false">IF(Premissas!$B$9&lt;=1,1,MIN(1,Premissas!$B$8/100+(1-Premissas!$B$8/100)*(A149-1)/(Premissas!$B$9-1)))</f>
        <v>1</v>
      </c>
      <c r="C149" s="9" t="n">
        <f aca="false">IF(A149&lt;=Resultados!$B$9,Resultados!$B$10,0)</f>
        <v>0</v>
      </c>
      <c r="D149" s="9" t="n">
        <f aca="false">Resultados!$E$37*$B149-Resultados!$F$37*$B149-Premissas!$B$24-Resultados!$E$37*$B149*(Premissas!$B$14/100)</f>
        <v>19027</v>
      </c>
      <c r="E149" s="9" t="n">
        <f aca="false">D149-$C149</f>
        <v>19027</v>
      </c>
      <c r="F149" s="9" t="n">
        <f aca="false">F148+E149</f>
        <v>2369311.9</v>
      </c>
      <c r="G149" s="37" t="str">
        <f aca="false">IF(AND(F148&lt;0,F149&gt;=0,A149&lt;=MAX(120,Premissas!$B$15*12)),(A149-1)+(-F148)/E149,"")</f>
        <v/>
      </c>
      <c r="H149" s="9" t="n">
        <f aca="false">Resultados!$E$38*$B149-Resultados!$F$38*$B149-Premissas!$B$24-Resultados!$E$38*$B149*(Premissas!$B$14/100)</f>
        <v>24432.4</v>
      </c>
      <c r="I149" s="9" t="n">
        <f aca="false">H149-$C149</f>
        <v>24432.4</v>
      </c>
      <c r="J149" s="9" t="n">
        <f aca="false">J148+I149</f>
        <v>3135257.07999999</v>
      </c>
      <c r="K149" s="37" t="str">
        <f aca="false">IF(AND(J148&lt;0,J149&gt;=0,A149&lt;=MAX(120,Premissas!$B$15*12)),(A149-1)+(-J148)/I149,"")</f>
        <v/>
      </c>
      <c r="L149" s="9" t="n">
        <f aca="false">Resultados!$E$39*$B149-Resultados!$F$39*$B149-Premissas!$B$24-Resultados!$E$39*$B149*(Premissas!$B$14/100)</f>
        <v>29837.8</v>
      </c>
      <c r="M149" s="9" t="n">
        <f aca="false">L149-$C149</f>
        <v>29837.8</v>
      </c>
      <c r="N149" s="9" t="n">
        <f aca="false">N148+M149</f>
        <v>3901202.25999999</v>
      </c>
      <c r="O149" s="37" t="str">
        <f aca="false">IF(AND(N148&lt;0,N149&gt;=0,A149&lt;=MAX(120,Premissas!$B$15*12)),(A149-1)+(-N148)/M149,"")</f>
        <v/>
      </c>
      <c r="P149" s="9" t="n">
        <f aca="false">Resultados!$B$19*$B149-Resultados!$B$20*$B149-Premissas!$B$24-Resultados!$B$19*$B149*(Premissas!$B$14/100)</f>
        <v>24432.4</v>
      </c>
      <c r="Q149" s="9" t="n">
        <f aca="false">P149-$C149</f>
        <v>24432.4</v>
      </c>
      <c r="R149" s="9" t="n">
        <f aca="false">R148+Q149</f>
        <v>3135257.07999999</v>
      </c>
      <c r="S149" s="37" t="str">
        <f aca="false">IF(AND(R148&lt;0,R149&gt;=0,A149&lt;=MAX(120,Premissas!$B$15*12)),(A149-1)+(-R148)/Q149,"")</f>
        <v/>
      </c>
    </row>
    <row r="150" customFormat="false" ht="15" hidden="false" customHeight="false" outlineLevel="0" collapsed="false">
      <c r="A150" s="10" t="n">
        <f aca="false">A149+1</f>
        <v>146</v>
      </c>
      <c r="B150" s="36" t="n">
        <f aca="false">IF(Premissas!$B$9&lt;=1,1,MIN(1,Premissas!$B$8/100+(1-Premissas!$B$8/100)*(A150-1)/(Premissas!$B$9-1)))</f>
        <v>1</v>
      </c>
      <c r="C150" s="9" t="n">
        <f aca="false">IF(A150&lt;=Resultados!$B$9,Resultados!$B$10,0)</f>
        <v>0</v>
      </c>
      <c r="D150" s="9" t="n">
        <f aca="false">Resultados!$E$37*$B150-Resultados!$F$37*$B150-Premissas!$B$24-Resultados!$E$37*$B150*(Premissas!$B$14/100)</f>
        <v>19027</v>
      </c>
      <c r="E150" s="9" t="n">
        <f aca="false">D150-$C150</f>
        <v>19027</v>
      </c>
      <c r="F150" s="9" t="n">
        <f aca="false">F149+E150</f>
        <v>2388338.9</v>
      </c>
      <c r="G150" s="37" t="str">
        <f aca="false">IF(AND(F149&lt;0,F150&gt;=0,A150&lt;=MAX(120,Premissas!$B$15*12)),(A150-1)+(-F149)/E150,"")</f>
        <v/>
      </c>
      <c r="H150" s="9" t="n">
        <f aca="false">Resultados!$E$38*$B150-Resultados!$F$38*$B150-Premissas!$B$24-Resultados!$E$38*$B150*(Premissas!$B$14/100)</f>
        <v>24432.4</v>
      </c>
      <c r="I150" s="9" t="n">
        <f aca="false">H150-$C150</f>
        <v>24432.4</v>
      </c>
      <c r="J150" s="9" t="n">
        <f aca="false">J149+I150</f>
        <v>3159689.47999999</v>
      </c>
      <c r="K150" s="37" t="str">
        <f aca="false">IF(AND(J149&lt;0,J150&gt;=0,A150&lt;=MAX(120,Premissas!$B$15*12)),(A150-1)+(-J149)/I150,"")</f>
        <v/>
      </c>
      <c r="L150" s="9" t="n">
        <f aca="false">Resultados!$E$39*$B150-Resultados!$F$39*$B150-Premissas!$B$24-Resultados!$E$39*$B150*(Premissas!$B$14/100)</f>
        <v>29837.8</v>
      </c>
      <c r="M150" s="9" t="n">
        <f aca="false">L150-$C150</f>
        <v>29837.8</v>
      </c>
      <c r="N150" s="9" t="n">
        <f aca="false">N149+M150</f>
        <v>3931040.05999999</v>
      </c>
      <c r="O150" s="37" t="str">
        <f aca="false">IF(AND(N149&lt;0,N150&gt;=0,A150&lt;=MAX(120,Premissas!$B$15*12)),(A150-1)+(-N149)/M150,"")</f>
        <v/>
      </c>
      <c r="P150" s="9" t="n">
        <f aca="false">Resultados!$B$19*$B150-Resultados!$B$20*$B150-Premissas!$B$24-Resultados!$B$19*$B150*(Premissas!$B$14/100)</f>
        <v>24432.4</v>
      </c>
      <c r="Q150" s="9" t="n">
        <f aca="false">P150-$C150</f>
        <v>24432.4</v>
      </c>
      <c r="R150" s="9" t="n">
        <f aca="false">R149+Q150</f>
        <v>3159689.47999999</v>
      </c>
      <c r="S150" s="37" t="str">
        <f aca="false">IF(AND(R149&lt;0,R150&gt;=0,A150&lt;=MAX(120,Premissas!$B$15*12)),(A150-1)+(-R149)/Q150,"")</f>
        <v/>
      </c>
    </row>
    <row r="151" customFormat="false" ht="15" hidden="false" customHeight="false" outlineLevel="0" collapsed="false">
      <c r="A151" s="10" t="n">
        <f aca="false">A150+1</f>
        <v>147</v>
      </c>
      <c r="B151" s="36" t="n">
        <f aca="false">IF(Premissas!$B$9&lt;=1,1,MIN(1,Premissas!$B$8/100+(1-Premissas!$B$8/100)*(A151-1)/(Premissas!$B$9-1)))</f>
        <v>1</v>
      </c>
      <c r="C151" s="9" t="n">
        <f aca="false">IF(A151&lt;=Resultados!$B$9,Resultados!$B$10,0)</f>
        <v>0</v>
      </c>
      <c r="D151" s="9" t="n">
        <f aca="false">Resultados!$E$37*$B151-Resultados!$F$37*$B151-Premissas!$B$24-Resultados!$E$37*$B151*(Premissas!$B$14/100)</f>
        <v>19027</v>
      </c>
      <c r="E151" s="9" t="n">
        <f aca="false">D151-$C151</f>
        <v>19027</v>
      </c>
      <c r="F151" s="9" t="n">
        <f aca="false">F150+E151</f>
        <v>2407365.9</v>
      </c>
      <c r="G151" s="37" t="str">
        <f aca="false">IF(AND(F150&lt;0,F151&gt;=0,A151&lt;=MAX(120,Premissas!$B$15*12)),(A151-1)+(-F150)/E151,"")</f>
        <v/>
      </c>
      <c r="H151" s="9" t="n">
        <f aca="false">Resultados!$E$38*$B151-Resultados!$F$38*$B151-Premissas!$B$24-Resultados!$E$38*$B151*(Premissas!$B$14/100)</f>
        <v>24432.4</v>
      </c>
      <c r="I151" s="9" t="n">
        <f aca="false">H151-$C151</f>
        <v>24432.4</v>
      </c>
      <c r="J151" s="9" t="n">
        <f aca="false">J150+I151</f>
        <v>3184121.87999999</v>
      </c>
      <c r="K151" s="37" t="str">
        <f aca="false">IF(AND(J150&lt;0,J151&gt;=0,A151&lt;=MAX(120,Premissas!$B$15*12)),(A151-1)+(-J150)/I151,"")</f>
        <v/>
      </c>
      <c r="L151" s="9" t="n">
        <f aca="false">Resultados!$E$39*$B151-Resultados!$F$39*$B151-Premissas!$B$24-Resultados!$E$39*$B151*(Premissas!$B$14/100)</f>
        <v>29837.8</v>
      </c>
      <c r="M151" s="9" t="n">
        <f aca="false">L151-$C151</f>
        <v>29837.8</v>
      </c>
      <c r="N151" s="9" t="n">
        <f aca="false">N150+M151</f>
        <v>3960877.85999999</v>
      </c>
      <c r="O151" s="37" t="str">
        <f aca="false">IF(AND(N150&lt;0,N151&gt;=0,A151&lt;=MAX(120,Premissas!$B$15*12)),(A151-1)+(-N150)/M151,"")</f>
        <v/>
      </c>
      <c r="P151" s="9" t="n">
        <f aca="false">Resultados!$B$19*$B151-Resultados!$B$20*$B151-Premissas!$B$24-Resultados!$B$19*$B151*(Premissas!$B$14/100)</f>
        <v>24432.4</v>
      </c>
      <c r="Q151" s="9" t="n">
        <f aca="false">P151-$C151</f>
        <v>24432.4</v>
      </c>
      <c r="R151" s="9" t="n">
        <f aca="false">R150+Q151</f>
        <v>3184121.87999999</v>
      </c>
      <c r="S151" s="37" t="str">
        <f aca="false">IF(AND(R150&lt;0,R151&gt;=0,A151&lt;=MAX(120,Premissas!$B$15*12)),(A151-1)+(-R150)/Q151,"")</f>
        <v/>
      </c>
    </row>
    <row r="152" customFormat="false" ht="15" hidden="false" customHeight="false" outlineLevel="0" collapsed="false">
      <c r="A152" s="10" t="n">
        <f aca="false">A151+1</f>
        <v>148</v>
      </c>
      <c r="B152" s="36" t="n">
        <f aca="false">IF(Premissas!$B$9&lt;=1,1,MIN(1,Premissas!$B$8/100+(1-Premissas!$B$8/100)*(A152-1)/(Premissas!$B$9-1)))</f>
        <v>1</v>
      </c>
      <c r="C152" s="9" t="n">
        <f aca="false">IF(A152&lt;=Resultados!$B$9,Resultados!$B$10,0)</f>
        <v>0</v>
      </c>
      <c r="D152" s="9" t="n">
        <f aca="false">Resultados!$E$37*$B152-Resultados!$F$37*$B152-Premissas!$B$24-Resultados!$E$37*$B152*(Premissas!$B$14/100)</f>
        <v>19027</v>
      </c>
      <c r="E152" s="9" t="n">
        <f aca="false">D152-$C152</f>
        <v>19027</v>
      </c>
      <c r="F152" s="9" t="n">
        <f aca="false">F151+E152</f>
        <v>2426392.9</v>
      </c>
      <c r="G152" s="37" t="str">
        <f aca="false">IF(AND(F151&lt;0,F152&gt;=0,A152&lt;=MAX(120,Premissas!$B$15*12)),(A152-1)+(-F151)/E152,"")</f>
        <v/>
      </c>
      <c r="H152" s="9" t="n">
        <f aca="false">Resultados!$E$38*$B152-Resultados!$F$38*$B152-Premissas!$B$24-Resultados!$E$38*$B152*(Premissas!$B$14/100)</f>
        <v>24432.4</v>
      </c>
      <c r="I152" s="9" t="n">
        <f aca="false">H152-$C152</f>
        <v>24432.4</v>
      </c>
      <c r="J152" s="9" t="n">
        <f aca="false">J151+I152</f>
        <v>3208554.27999999</v>
      </c>
      <c r="K152" s="37" t="str">
        <f aca="false">IF(AND(J151&lt;0,J152&gt;=0,A152&lt;=MAX(120,Premissas!$B$15*12)),(A152-1)+(-J151)/I152,"")</f>
        <v/>
      </c>
      <c r="L152" s="9" t="n">
        <f aca="false">Resultados!$E$39*$B152-Resultados!$F$39*$B152-Premissas!$B$24-Resultados!$E$39*$B152*(Premissas!$B$14/100)</f>
        <v>29837.8</v>
      </c>
      <c r="M152" s="9" t="n">
        <f aca="false">L152-$C152</f>
        <v>29837.8</v>
      </c>
      <c r="N152" s="9" t="n">
        <f aca="false">N151+M152</f>
        <v>3990715.65999999</v>
      </c>
      <c r="O152" s="37" t="str">
        <f aca="false">IF(AND(N151&lt;0,N152&gt;=0,A152&lt;=MAX(120,Premissas!$B$15*12)),(A152-1)+(-N151)/M152,"")</f>
        <v/>
      </c>
      <c r="P152" s="9" t="n">
        <f aca="false">Resultados!$B$19*$B152-Resultados!$B$20*$B152-Premissas!$B$24-Resultados!$B$19*$B152*(Premissas!$B$14/100)</f>
        <v>24432.4</v>
      </c>
      <c r="Q152" s="9" t="n">
        <f aca="false">P152-$C152</f>
        <v>24432.4</v>
      </c>
      <c r="R152" s="9" t="n">
        <f aca="false">R151+Q152</f>
        <v>3208554.27999999</v>
      </c>
      <c r="S152" s="37" t="str">
        <f aca="false">IF(AND(R151&lt;0,R152&gt;=0,A152&lt;=MAX(120,Premissas!$B$15*12)),(A152-1)+(-R151)/Q152,"")</f>
        <v/>
      </c>
    </row>
    <row r="153" customFormat="false" ht="15" hidden="false" customHeight="false" outlineLevel="0" collapsed="false">
      <c r="A153" s="10" t="n">
        <f aca="false">A152+1</f>
        <v>149</v>
      </c>
      <c r="B153" s="36" t="n">
        <f aca="false">IF(Premissas!$B$9&lt;=1,1,MIN(1,Premissas!$B$8/100+(1-Premissas!$B$8/100)*(A153-1)/(Premissas!$B$9-1)))</f>
        <v>1</v>
      </c>
      <c r="C153" s="9" t="n">
        <f aca="false">IF(A153&lt;=Resultados!$B$9,Resultados!$B$10,0)</f>
        <v>0</v>
      </c>
      <c r="D153" s="9" t="n">
        <f aca="false">Resultados!$E$37*$B153-Resultados!$F$37*$B153-Premissas!$B$24-Resultados!$E$37*$B153*(Premissas!$B$14/100)</f>
        <v>19027</v>
      </c>
      <c r="E153" s="9" t="n">
        <f aca="false">D153-$C153</f>
        <v>19027</v>
      </c>
      <c r="F153" s="9" t="n">
        <f aca="false">F152+E153</f>
        <v>2445419.9</v>
      </c>
      <c r="G153" s="37" t="str">
        <f aca="false">IF(AND(F152&lt;0,F153&gt;=0,A153&lt;=MAX(120,Premissas!$B$15*12)),(A153-1)+(-F152)/E153,"")</f>
        <v/>
      </c>
      <c r="H153" s="9" t="n">
        <f aca="false">Resultados!$E$38*$B153-Resultados!$F$38*$B153-Premissas!$B$24-Resultados!$E$38*$B153*(Premissas!$B$14/100)</f>
        <v>24432.4</v>
      </c>
      <c r="I153" s="9" t="n">
        <f aca="false">H153-$C153</f>
        <v>24432.4</v>
      </c>
      <c r="J153" s="9" t="n">
        <f aca="false">J152+I153</f>
        <v>3232986.67999999</v>
      </c>
      <c r="K153" s="37" t="str">
        <f aca="false">IF(AND(J152&lt;0,J153&gt;=0,A153&lt;=MAX(120,Premissas!$B$15*12)),(A153-1)+(-J152)/I153,"")</f>
        <v/>
      </c>
      <c r="L153" s="9" t="n">
        <f aca="false">Resultados!$E$39*$B153-Resultados!$F$39*$B153-Premissas!$B$24-Resultados!$E$39*$B153*(Premissas!$B$14/100)</f>
        <v>29837.8</v>
      </c>
      <c r="M153" s="9" t="n">
        <f aca="false">L153-$C153</f>
        <v>29837.8</v>
      </c>
      <c r="N153" s="9" t="n">
        <f aca="false">N152+M153</f>
        <v>4020553.45999999</v>
      </c>
      <c r="O153" s="37" t="str">
        <f aca="false">IF(AND(N152&lt;0,N153&gt;=0,A153&lt;=MAX(120,Premissas!$B$15*12)),(A153-1)+(-N152)/M153,"")</f>
        <v/>
      </c>
      <c r="P153" s="9" t="n">
        <f aca="false">Resultados!$B$19*$B153-Resultados!$B$20*$B153-Premissas!$B$24-Resultados!$B$19*$B153*(Premissas!$B$14/100)</f>
        <v>24432.4</v>
      </c>
      <c r="Q153" s="9" t="n">
        <f aca="false">P153-$C153</f>
        <v>24432.4</v>
      </c>
      <c r="R153" s="9" t="n">
        <f aca="false">R152+Q153</f>
        <v>3232986.67999999</v>
      </c>
      <c r="S153" s="37" t="str">
        <f aca="false">IF(AND(R152&lt;0,R153&gt;=0,A153&lt;=MAX(120,Premissas!$B$15*12)),(A153-1)+(-R152)/Q153,"")</f>
        <v/>
      </c>
    </row>
    <row r="154" customFormat="false" ht="15" hidden="false" customHeight="false" outlineLevel="0" collapsed="false">
      <c r="A154" s="10" t="n">
        <f aca="false">A153+1</f>
        <v>150</v>
      </c>
      <c r="B154" s="36" t="n">
        <f aca="false">IF(Premissas!$B$9&lt;=1,1,MIN(1,Premissas!$B$8/100+(1-Premissas!$B$8/100)*(A154-1)/(Premissas!$B$9-1)))</f>
        <v>1</v>
      </c>
      <c r="C154" s="9" t="n">
        <f aca="false">IF(A154&lt;=Resultados!$B$9,Resultados!$B$10,0)</f>
        <v>0</v>
      </c>
      <c r="D154" s="9" t="n">
        <f aca="false">Resultados!$E$37*$B154-Resultados!$F$37*$B154-Premissas!$B$24-Resultados!$E$37*$B154*(Premissas!$B$14/100)</f>
        <v>19027</v>
      </c>
      <c r="E154" s="9" t="n">
        <f aca="false">D154-$C154</f>
        <v>19027</v>
      </c>
      <c r="F154" s="9" t="n">
        <f aca="false">F153+E154</f>
        <v>2464446.9</v>
      </c>
      <c r="G154" s="37" t="str">
        <f aca="false">IF(AND(F153&lt;0,F154&gt;=0,A154&lt;=MAX(120,Premissas!$B$15*12)),(A154-1)+(-F153)/E154,"")</f>
        <v/>
      </c>
      <c r="H154" s="9" t="n">
        <f aca="false">Resultados!$E$38*$B154-Resultados!$F$38*$B154-Premissas!$B$24-Resultados!$E$38*$B154*(Premissas!$B$14/100)</f>
        <v>24432.4</v>
      </c>
      <c r="I154" s="9" t="n">
        <f aca="false">H154-$C154</f>
        <v>24432.4</v>
      </c>
      <c r="J154" s="9" t="n">
        <f aca="false">J153+I154</f>
        <v>3257419.07999999</v>
      </c>
      <c r="K154" s="37" t="str">
        <f aca="false">IF(AND(J153&lt;0,J154&gt;=0,A154&lt;=MAX(120,Premissas!$B$15*12)),(A154-1)+(-J153)/I154,"")</f>
        <v/>
      </c>
      <c r="L154" s="9" t="n">
        <f aca="false">Resultados!$E$39*$B154-Resultados!$F$39*$B154-Premissas!$B$24-Resultados!$E$39*$B154*(Premissas!$B$14/100)</f>
        <v>29837.8</v>
      </c>
      <c r="M154" s="9" t="n">
        <f aca="false">L154-$C154</f>
        <v>29837.8</v>
      </c>
      <c r="N154" s="9" t="n">
        <f aca="false">N153+M154</f>
        <v>4050391.25999999</v>
      </c>
      <c r="O154" s="37" t="str">
        <f aca="false">IF(AND(N153&lt;0,N154&gt;=0,A154&lt;=MAX(120,Premissas!$B$15*12)),(A154-1)+(-N153)/M154,"")</f>
        <v/>
      </c>
      <c r="P154" s="9" t="n">
        <f aca="false">Resultados!$B$19*$B154-Resultados!$B$20*$B154-Premissas!$B$24-Resultados!$B$19*$B154*(Premissas!$B$14/100)</f>
        <v>24432.4</v>
      </c>
      <c r="Q154" s="9" t="n">
        <f aca="false">P154-$C154</f>
        <v>24432.4</v>
      </c>
      <c r="R154" s="9" t="n">
        <f aca="false">R153+Q154</f>
        <v>3257419.07999999</v>
      </c>
      <c r="S154" s="37" t="str">
        <f aca="false">IF(AND(R153&lt;0,R154&gt;=0,A154&lt;=MAX(120,Premissas!$B$15*12)),(A154-1)+(-R153)/Q154,"")</f>
        <v/>
      </c>
    </row>
    <row r="155" customFormat="false" ht="15" hidden="false" customHeight="false" outlineLevel="0" collapsed="false">
      <c r="A155" s="10" t="n">
        <f aca="false">A154+1</f>
        <v>151</v>
      </c>
      <c r="B155" s="36" t="n">
        <f aca="false">IF(Premissas!$B$9&lt;=1,1,MIN(1,Premissas!$B$8/100+(1-Premissas!$B$8/100)*(A155-1)/(Premissas!$B$9-1)))</f>
        <v>1</v>
      </c>
      <c r="C155" s="9" t="n">
        <f aca="false">IF(A155&lt;=Resultados!$B$9,Resultados!$B$10,0)</f>
        <v>0</v>
      </c>
      <c r="D155" s="9" t="n">
        <f aca="false">Resultados!$E$37*$B155-Resultados!$F$37*$B155-Premissas!$B$24-Resultados!$E$37*$B155*(Premissas!$B$14/100)</f>
        <v>19027</v>
      </c>
      <c r="E155" s="9" t="n">
        <f aca="false">D155-$C155</f>
        <v>19027</v>
      </c>
      <c r="F155" s="9" t="n">
        <f aca="false">F154+E155</f>
        <v>2483473.9</v>
      </c>
      <c r="G155" s="37" t="str">
        <f aca="false">IF(AND(F154&lt;0,F155&gt;=0,A155&lt;=MAX(120,Premissas!$B$15*12)),(A155-1)+(-F154)/E155,"")</f>
        <v/>
      </c>
      <c r="H155" s="9" t="n">
        <f aca="false">Resultados!$E$38*$B155-Resultados!$F$38*$B155-Premissas!$B$24-Resultados!$E$38*$B155*(Premissas!$B$14/100)</f>
        <v>24432.4</v>
      </c>
      <c r="I155" s="9" t="n">
        <f aca="false">H155-$C155</f>
        <v>24432.4</v>
      </c>
      <c r="J155" s="9" t="n">
        <f aca="false">J154+I155</f>
        <v>3281851.47999999</v>
      </c>
      <c r="K155" s="37" t="str">
        <f aca="false">IF(AND(J154&lt;0,J155&gt;=0,A155&lt;=MAX(120,Premissas!$B$15*12)),(A155-1)+(-J154)/I155,"")</f>
        <v/>
      </c>
      <c r="L155" s="9" t="n">
        <f aca="false">Resultados!$E$39*$B155-Resultados!$F$39*$B155-Premissas!$B$24-Resultados!$E$39*$B155*(Premissas!$B$14/100)</f>
        <v>29837.8</v>
      </c>
      <c r="M155" s="9" t="n">
        <f aca="false">L155-$C155</f>
        <v>29837.8</v>
      </c>
      <c r="N155" s="9" t="n">
        <f aca="false">N154+M155</f>
        <v>4080229.05999999</v>
      </c>
      <c r="O155" s="37" t="str">
        <f aca="false">IF(AND(N154&lt;0,N155&gt;=0,A155&lt;=MAX(120,Premissas!$B$15*12)),(A155-1)+(-N154)/M155,"")</f>
        <v/>
      </c>
      <c r="P155" s="9" t="n">
        <f aca="false">Resultados!$B$19*$B155-Resultados!$B$20*$B155-Premissas!$B$24-Resultados!$B$19*$B155*(Premissas!$B$14/100)</f>
        <v>24432.4</v>
      </c>
      <c r="Q155" s="9" t="n">
        <f aca="false">P155-$C155</f>
        <v>24432.4</v>
      </c>
      <c r="R155" s="9" t="n">
        <f aca="false">R154+Q155</f>
        <v>3281851.47999999</v>
      </c>
      <c r="S155" s="37" t="str">
        <f aca="false">IF(AND(R154&lt;0,R155&gt;=0,A155&lt;=MAX(120,Premissas!$B$15*12)),(A155-1)+(-R154)/Q155,"")</f>
        <v/>
      </c>
    </row>
    <row r="156" customFormat="false" ht="15" hidden="false" customHeight="false" outlineLevel="0" collapsed="false">
      <c r="A156" s="10" t="n">
        <f aca="false">A155+1</f>
        <v>152</v>
      </c>
      <c r="B156" s="36" t="n">
        <f aca="false">IF(Premissas!$B$9&lt;=1,1,MIN(1,Premissas!$B$8/100+(1-Premissas!$B$8/100)*(A156-1)/(Premissas!$B$9-1)))</f>
        <v>1</v>
      </c>
      <c r="C156" s="9" t="n">
        <f aca="false">IF(A156&lt;=Resultados!$B$9,Resultados!$B$10,0)</f>
        <v>0</v>
      </c>
      <c r="D156" s="9" t="n">
        <f aca="false">Resultados!$E$37*$B156-Resultados!$F$37*$B156-Premissas!$B$24-Resultados!$E$37*$B156*(Premissas!$B$14/100)</f>
        <v>19027</v>
      </c>
      <c r="E156" s="9" t="n">
        <f aca="false">D156-$C156</f>
        <v>19027</v>
      </c>
      <c r="F156" s="9" t="n">
        <f aca="false">F155+E156</f>
        <v>2502500.9</v>
      </c>
      <c r="G156" s="37" t="str">
        <f aca="false">IF(AND(F155&lt;0,F156&gt;=0,A156&lt;=MAX(120,Premissas!$B$15*12)),(A156-1)+(-F155)/E156,"")</f>
        <v/>
      </c>
      <c r="H156" s="9" t="n">
        <f aca="false">Resultados!$E$38*$B156-Resultados!$F$38*$B156-Premissas!$B$24-Resultados!$E$38*$B156*(Premissas!$B$14/100)</f>
        <v>24432.4</v>
      </c>
      <c r="I156" s="9" t="n">
        <f aca="false">H156-$C156</f>
        <v>24432.4</v>
      </c>
      <c r="J156" s="9" t="n">
        <f aca="false">J155+I156</f>
        <v>3306283.87999999</v>
      </c>
      <c r="K156" s="37" t="str">
        <f aca="false">IF(AND(J155&lt;0,J156&gt;=0,A156&lt;=MAX(120,Premissas!$B$15*12)),(A156-1)+(-J155)/I156,"")</f>
        <v/>
      </c>
      <c r="L156" s="9" t="n">
        <f aca="false">Resultados!$E$39*$B156-Resultados!$F$39*$B156-Premissas!$B$24-Resultados!$E$39*$B156*(Premissas!$B$14/100)</f>
        <v>29837.8</v>
      </c>
      <c r="M156" s="9" t="n">
        <f aca="false">L156-$C156</f>
        <v>29837.8</v>
      </c>
      <c r="N156" s="9" t="n">
        <f aca="false">N155+M156</f>
        <v>4110066.85999999</v>
      </c>
      <c r="O156" s="37" t="str">
        <f aca="false">IF(AND(N155&lt;0,N156&gt;=0,A156&lt;=MAX(120,Premissas!$B$15*12)),(A156-1)+(-N155)/M156,"")</f>
        <v/>
      </c>
      <c r="P156" s="9" t="n">
        <f aca="false">Resultados!$B$19*$B156-Resultados!$B$20*$B156-Premissas!$B$24-Resultados!$B$19*$B156*(Premissas!$B$14/100)</f>
        <v>24432.4</v>
      </c>
      <c r="Q156" s="9" t="n">
        <f aca="false">P156-$C156</f>
        <v>24432.4</v>
      </c>
      <c r="R156" s="9" t="n">
        <f aca="false">R155+Q156</f>
        <v>3306283.87999999</v>
      </c>
      <c r="S156" s="37" t="str">
        <f aca="false">IF(AND(R155&lt;0,R156&gt;=0,A156&lt;=MAX(120,Premissas!$B$15*12)),(A156-1)+(-R155)/Q156,"")</f>
        <v/>
      </c>
    </row>
    <row r="157" customFormat="false" ht="15" hidden="false" customHeight="false" outlineLevel="0" collapsed="false">
      <c r="A157" s="10" t="n">
        <f aca="false">A156+1</f>
        <v>153</v>
      </c>
      <c r="B157" s="36" t="n">
        <f aca="false">IF(Premissas!$B$9&lt;=1,1,MIN(1,Premissas!$B$8/100+(1-Premissas!$B$8/100)*(A157-1)/(Premissas!$B$9-1)))</f>
        <v>1</v>
      </c>
      <c r="C157" s="9" t="n">
        <f aca="false">IF(A157&lt;=Resultados!$B$9,Resultados!$B$10,0)</f>
        <v>0</v>
      </c>
      <c r="D157" s="9" t="n">
        <f aca="false">Resultados!$E$37*$B157-Resultados!$F$37*$B157-Premissas!$B$24-Resultados!$E$37*$B157*(Premissas!$B$14/100)</f>
        <v>19027</v>
      </c>
      <c r="E157" s="9" t="n">
        <f aca="false">D157-$C157</f>
        <v>19027</v>
      </c>
      <c r="F157" s="9" t="n">
        <f aca="false">F156+E157</f>
        <v>2521527.9</v>
      </c>
      <c r="G157" s="37" t="str">
        <f aca="false">IF(AND(F156&lt;0,F157&gt;=0,A157&lt;=MAX(120,Premissas!$B$15*12)),(A157-1)+(-F156)/E157,"")</f>
        <v/>
      </c>
      <c r="H157" s="9" t="n">
        <f aca="false">Resultados!$E$38*$B157-Resultados!$F$38*$B157-Premissas!$B$24-Resultados!$E$38*$B157*(Premissas!$B$14/100)</f>
        <v>24432.4</v>
      </c>
      <c r="I157" s="9" t="n">
        <f aca="false">H157-$C157</f>
        <v>24432.4</v>
      </c>
      <c r="J157" s="9" t="n">
        <f aca="false">J156+I157</f>
        <v>3330716.27999999</v>
      </c>
      <c r="K157" s="37" t="str">
        <f aca="false">IF(AND(J156&lt;0,J157&gt;=0,A157&lt;=MAX(120,Premissas!$B$15*12)),(A157-1)+(-J156)/I157,"")</f>
        <v/>
      </c>
      <c r="L157" s="9" t="n">
        <f aca="false">Resultados!$E$39*$B157-Resultados!$F$39*$B157-Premissas!$B$24-Resultados!$E$39*$B157*(Premissas!$B$14/100)</f>
        <v>29837.8</v>
      </c>
      <c r="M157" s="9" t="n">
        <f aca="false">L157-$C157</f>
        <v>29837.8</v>
      </c>
      <c r="N157" s="9" t="n">
        <f aca="false">N156+M157</f>
        <v>4139904.65999999</v>
      </c>
      <c r="O157" s="37" t="str">
        <f aca="false">IF(AND(N156&lt;0,N157&gt;=0,A157&lt;=MAX(120,Premissas!$B$15*12)),(A157-1)+(-N156)/M157,"")</f>
        <v/>
      </c>
      <c r="P157" s="9" t="n">
        <f aca="false">Resultados!$B$19*$B157-Resultados!$B$20*$B157-Premissas!$B$24-Resultados!$B$19*$B157*(Premissas!$B$14/100)</f>
        <v>24432.4</v>
      </c>
      <c r="Q157" s="9" t="n">
        <f aca="false">P157-$C157</f>
        <v>24432.4</v>
      </c>
      <c r="R157" s="9" t="n">
        <f aca="false">R156+Q157</f>
        <v>3330716.27999999</v>
      </c>
      <c r="S157" s="37" t="str">
        <f aca="false">IF(AND(R156&lt;0,R157&gt;=0,A157&lt;=MAX(120,Premissas!$B$15*12)),(A157-1)+(-R156)/Q157,"")</f>
        <v/>
      </c>
    </row>
    <row r="158" customFormat="false" ht="15" hidden="false" customHeight="false" outlineLevel="0" collapsed="false">
      <c r="A158" s="10" t="n">
        <f aca="false">A157+1</f>
        <v>154</v>
      </c>
      <c r="B158" s="36" t="n">
        <f aca="false">IF(Premissas!$B$9&lt;=1,1,MIN(1,Premissas!$B$8/100+(1-Premissas!$B$8/100)*(A158-1)/(Premissas!$B$9-1)))</f>
        <v>1</v>
      </c>
      <c r="C158" s="9" t="n">
        <f aca="false">IF(A158&lt;=Resultados!$B$9,Resultados!$B$10,0)</f>
        <v>0</v>
      </c>
      <c r="D158" s="9" t="n">
        <f aca="false">Resultados!$E$37*$B158-Resultados!$F$37*$B158-Premissas!$B$24-Resultados!$E$37*$B158*(Premissas!$B$14/100)</f>
        <v>19027</v>
      </c>
      <c r="E158" s="9" t="n">
        <f aca="false">D158-$C158</f>
        <v>19027</v>
      </c>
      <c r="F158" s="9" t="n">
        <f aca="false">F157+E158</f>
        <v>2540554.9</v>
      </c>
      <c r="G158" s="37" t="str">
        <f aca="false">IF(AND(F157&lt;0,F158&gt;=0,A158&lt;=MAX(120,Premissas!$B$15*12)),(A158-1)+(-F157)/E158,"")</f>
        <v/>
      </c>
      <c r="H158" s="9" t="n">
        <f aca="false">Resultados!$E$38*$B158-Resultados!$F$38*$B158-Premissas!$B$24-Resultados!$E$38*$B158*(Premissas!$B$14/100)</f>
        <v>24432.4</v>
      </c>
      <c r="I158" s="9" t="n">
        <f aca="false">H158-$C158</f>
        <v>24432.4</v>
      </c>
      <c r="J158" s="9" t="n">
        <f aca="false">J157+I158</f>
        <v>3355148.67999999</v>
      </c>
      <c r="K158" s="37" t="str">
        <f aca="false">IF(AND(J157&lt;0,J158&gt;=0,A158&lt;=MAX(120,Premissas!$B$15*12)),(A158-1)+(-J157)/I158,"")</f>
        <v/>
      </c>
      <c r="L158" s="9" t="n">
        <f aca="false">Resultados!$E$39*$B158-Resultados!$F$39*$B158-Premissas!$B$24-Resultados!$E$39*$B158*(Premissas!$B$14/100)</f>
        <v>29837.8</v>
      </c>
      <c r="M158" s="9" t="n">
        <f aca="false">L158-$C158</f>
        <v>29837.8</v>
      </c>
      <c r="N158" s="9" t="n">
        <f aca="false">N157+M158</f>
        <v>4169742.45999999</v>
      </c>
      <c r="O158" s="37" t="str">
        <f aca="false">IF(AND(N157&lt;0,N158&gt;=0,A158&lt;=MAX(120,Premissas!$B$15*12)),(A158-1)+(-N157)/M158,"")</f>
        <v/>
      </c>
      <c r="P158" s="9" t="n">
        <f aca="false">Resultados!$B$19*$B158-Resultados!$B$20*$B158-Premissas!$B$24-Resultados!$B$19*$B158*(Premissas!$B$14/100)</f>
        <v>24432.4</v>
      </c>
      <c r="Q158" s="9" t="n">
        <f aca="false">P158-$C158</f>
        <v>24432.4</v>
      </c>
      <c r="R158" s="9" t="n">
        <f aca="false">R157+Q158</f>
        <v>3355148.67999999</v>
      </c>
      <c r="S158" s="37" t="str">
        <f aca="false">IF(AND(R157&lt;0,R158&gt;=0,A158&lt;=MAX(120,Premissas!$B$15*12)),(A158-1)+(-R157)/Q158,"")</f>
        <v/>
      </c>
    </row>
    <row r="159" customFormat="false" ht="15" hidden="false" customHeight="false" outlineLevel="0" collapsed="false">
      <c r="A159" s="10" t="n">
        <f aca="false">A158+1</f>
        <v>155</v>
      </c>
      <c r="B159" s="36" t="n">
        <f aca="false">IF(Premissas!$B$9&lt;=1,1,MIN(1,Premissas!$B$8/100+(1-Premissas!$B$8/100)*(A159-1)/(Premissas!$B$9-1)))</f>
        <v>1</v>
      </c>
      <c r="C159" s="9" t="n">
        <f aca="false">IF(A159&lt;=Resultados!$B$9,Resultados!$B$10,0)</f>
        <v>0</v>
      </c>
      <c r="D159" s="9" t="n">
        <f aca="false">Resultados!$E$37*$B159-Resultados!$F$37*$B159-Premissas!$B$24-Resultados!$E$37*$B159*(Premissas!$B$14/100)</f>
        <v>19027</v>
      </c>
      <c r="E159" s="9" t="n">
        <f aca="false">D159-$C159</f>
        <v>19027</v>
      </c>
      <c r="F159" s="9" t="n">
        <f aca="false">F158+E159</f>
        <v>2559581.9</v>
      </c>
      <c r="G159" s="37" t="str">
        <f aca="false">IF(AND(F158&lt;0,F159&gt;=0,A159&lt;=MAX(120,Premissas!$B$15*12)),(A159-1)+(-F158)/E159,"")</f>
        <v/>
      </c>
      <c r="H159" s="9" t="n">
        <f aca="false">Resultados!$E$38*$B159-Resultados!$F$38*$B159-Premissas!$B$24-Resultados!$E$38*$B159*(Premissas!$B$14/100)</f>
        <v>24432.4</v>
      </c>
      <c r="I159" s="9" t="n">
        <f aca="false">H159-$C159</f>
        <v>24432.4</v>
      </c>
      <c r="J159" s="9" t="n">
        <f aca="false">J158+I159</f>
        <v>3379581.07999999</v>
      </c>
      <c r="K159" s="37" t="str">
        <f aca="false">IF(AND(J158&lt;0,J159&gt;=0,A159&lt;=MAX(120,Premissas!$B$15*12)),(A159-1)+(-J158)/I159,"")</f>
        <v/>
      </c>
      <c r="L159" s="9" t="n">
        <f aca="false">Resultados!$E$39*$B159-Resultados!$F$39*$B159-Premissas!$B$24-Resultados!$E$39*$B159*(Premissas!$B$14/100)</f>
        <v>29837.8</v>
      </c>
      <c r="M159" s="9" t="n">
        <f aca="false">L159-$C159</f>
        <v>29837.8</v>
      </c>
      <c r="N159" s="9" t="n">
        <f aca="false">N158+M159</f>
        <v>4199580.25999999</v>
      </c>
      <c r="O159" s="37" t="str">
        <f aca="false">IF(AND(N158&lt;0,N159&gt;=0,A159&lt;=MAX(120,Premissas!$B$15*12)),(A159-1)+(-N158)/M159,"")</f>
        <v/>
      </c>
      <c r="P159" s="9" t="n">
        <f aca="false">Resultados!$B$19*$B159-Resultados!$B$20*$B159-Premissas!$B$24-Resultados!$B$19*$B159*(Premissas!$B$14/100)</f>
        <v>24432.4</v>
      </c>
      <c r="Q159" s="9" t="n">
        <f aca="false">P159-$C159</f>
        <v>24432.4</v>
      </c>
      <c r="R159" s="9" t="n">
        <f aca="false">R158+Q159</f>
        <v>3379581.07999999</v>
      </c>
      <c r="S159" s="37" t="str">
        <f aca="false">IF(AND(R158&lt;0,R159&gt;=0,A159&lt;=MAX(120,Premissas!$B$15*12)),(A159-1)+(-R158)/Q159,"")</f>
        <v/>
      </c>
    </row>
    <row r="160" customFormat="false" ht="15" hidden="false" customHeight="false" outlineLevel="0" collapsed="false">
      <c r="A160" s="10" t="n">
        <f aca="false">A159+1</f>
        <v>156</v>
      </c>
      <c r="B160" s="36" t="n">
        <f aca="false">IF(Premissas!$B$9&lt;=1,1,MIN(1,Premissas!$B$8/100+(1-Premissas!$B$8/100)*(A160-1)/(Premissas!$B$9-1)))</f>
        <v>1</v>
      </c>
      <c r="C160" s="9" t="n">
        <f aca="false">IF(A160&lt;=Resultados!$B$9,Resultados!$B$10,0)</f>
        <v>0</v>
      </c>
      <c r="D160" s="9" t="n">
        <f aca="false">Resultados!$E$37*$B160-Resultados!$F$37*$B160-Premissas!$B$24-Resultados!$E$37*$B160*(Premissas!$B$14/100)</f>
        <v>19027</v>
      </c>
      <c r="E160" s="9" t="n">
        <f aca="false">D160-$C160</f>
        <v>19027</v>
      </c>
      <c r="F160" s="9" t="n">
        <f aca="false">F159+E160</f>
        <v>2578608.9</v>
      </c>
      <c r="G160" s="37" t="str">
        <f aca="false">IF(AND(F159&lt;0,F160&gt;=0,A160&lt;=MAX(120,Premissas!$B$15*12)),(A160-1)+(-F159)/E160,"")</f>
        <v/>
      </c>
      <c r="H160" s="9" t="n">
        <f aca="false">Resultados!$E$38*$B160-Resultados!$F$38*$B160-Premissas!$B$24-Resultados!$E$38*$B160*(Premissas!$B$14/100)</f>
        <v>24432.4</v>
      </c>
      <c r="I160" s="9" t="n">
        <f aca="false">H160-$C160</f>
        <v>24432.4</v>
      </c>
      <c r="J160" s="9" t="n">
        <f aca="false">J159+I160</f>
        <v>3404013.47999999</v>
      </c>
      <c r="K160" s="37" t="str">
        <f aca="false">IF(AND(J159&lt;0,J160&gt;=0,A160&lt;=MAX(120,Premissas!$B$15*12)),(A160-1)+(-J159)/I160,"")</f>
        <v/>
      </c>
      <c r="L160" s="9" t="n">
        <f aca="false">Resultados!$E$39*$B160-Resultados!$F$39*$B160-Premissas!$B$24-Resultados!$E$39*$B160*(Premissas!$B$14/100)</f>
        <v>29837.8</v>
      </c>
      <c r="M160" s="9" t="n">
        <f aca="false">L160-$C160</f>
        <v>29837.8</v>
      </c>
      <c r="N160" s="9" t="n">
        <f aca="false">N159+M160</f>
        <v>4229418.05999999</v>
      </c>
      <c r="O160" s="37" t="str">
        <f aca="false">IF(AND(N159&lt;0,N160&gt;=0,A160&lt;=MAX(120,Premissas!$B$15*12)),(A160-1)+(-N159)/M160,"")</f>
        <v/>
      </c>
      <c r="P160" s="9" t="n">
        <f aca="false">Resultados!$B$19*$B160-Resultados!$B$20*$B160-Premissas!$B$24-Resultados!$B$19*$B160*(Premissas!$B$14/100)</f>
        <v>24432.4</v>
      </c>
      <c r="Q160" s="9" t="n">
        <f aca="false">P160-$C160</f>
        <v>24432.4</v>
      </c>
      <c r="R160" s="9" t="n">
        <f aca="false">R159+Q160</f>
        <v>3404013.47999999</v>
      </c>
      <c r="S160" s="37" t="str">
        <f aca="false">IF(AND(R159&lt;0,R160&gt;=0,A160&lt;=MAX(120,Premissas!$B$15*12)),(A160-1)+(-R159)/Q160,"")</f>
        <v/>
      </c>
    </row>
    <row r="161" customFormat="false" ht="15" hidden="false" customHeight="false" outlineLevel="0" collapsed="false">
      <c r="A161" s="10" t="n">
        <f aca="false">A160+1</f>
        <v>157</v>
      </c>
      <c r="B161" s="36" t="n">
        <f aca="false">IF(Premissas!$B$9&lt;=1,1,MIN(1,Premissas!$B$8/100+(1-Premissas!$B$8/100)*(A161-1)/(Premissas!$B$9-1)))</f>
        <v>1</v>
      </c>
      <c r="C161" s="9" t="n">
        <f aca="false">IF(A161&lt;=Resultados!$B$9,Resultados!$B$10,0)</f>
        <v>0</v>
      </c>
      <c r="D161" s="9" t="n">
        <f aca="false">Resultados!$E$37*$B161-Resultados!$F$37*$B161-Premissas!$B$24-Resultados!$E$37*$B161*(Premissas!$B$14/100)</f>
        <v>19027</v>
      </c>
      <c r="E161" s="9" t="n">
        <f aca="false">D161-$C161</f>
        <v>19027</v>
      </c>
      <c r="F161" s="9" t="n">
        <f aca="false">F160+E161</f>
        <v>2597635.9</v>
      </c>
      <c r="G161" s="37" t="str">
        <f aca="false">IF(AND(F160&lt;0,F161&gt;=0,A161&lt;=MAX(120,Premissas!$B$15*12)),(A161-1)+(-F160)/E161,"")</f>
        <v/>
      </c>
      <c r="H161" s="9" t="n">
        <f aca="false">Resultados!$E$38*$B161-Resultados!$F$38*$B161-Premissas!$B$24-Resultados!$E$38*$B161*(Premissas!$B$14/100)</f>
        <v>24432.4</v>
      </c>
      <c r="I161" s="9" t="n">
        <f aca="false">H161-$C161</f>
        <v>24432.4</v>
      </c>
      <c r="J161" s="9" t="n">
        <f aca="false">J160+I161</f>
        <v>3428445.87999999</v>
      </c>
      <c r="K161" s="37" t="str">
        <f aca="false">IF(AND(J160&lt;0,J161&gt;=0,A161&lt;=MAX(120,Premissas!$B$15*12)),(A161-1)+(-J160)/I161,"")</f>
        <v/>
      </c>
      <c r="L161" s="9" t="n">
        <f aca="false">Resultados!$E$39*$B161-Resultados!$F$39*$B161-Premissas!$B$24-Resultados!$E$39*$B161*(Premissas!$B$14/100)</f>
        <v>29837.8</v>
      </c>
      <c r="M161" s="9" t="n">
        <f aca="false">L161-$C161</f>
        <v>29837.8</v>
      </c>
      <c r="N161" s="9" t="n">
        <f aca="false">N160+M161</f>
        <v>4259255.85999999</v>
      </c>
      <c r="O161" s="37" t="str">
        <f aca="false">IF(AND(N160&lt;0,N161&gt;=0,A161&lt;=MAX(120,Premissas!$B$15*12)),(A161-1)+(-N160)/M161,"")</f>
        <v/>
      </c>
      <c r="P161" s="9" t="n">
        <f aca="false">Resultados!$B$19*$B161-Resultados!$B$20*$B161-Premissas!$B$24-Resultados!$B$19*$B161*(Premissas!$B$14/100)</f>
        <v>24432.4</v>
      </c>
      <c r="Q161" s="9" t="n">
        <f aca="false">P161-$C161</f>
        <v>24432.4</v>
      </c>
      <c r="R161" s="9" t="n">
        <f aca="false">R160+Q161</f>
        <v>3428445.87999999</v>
      </c>
      <c r="S161" s="37" t="str">
        <f aca="false">IF(AND(R160&lt;0,R161&gt;=0,A161&lt;=MAX(120,Premissas!$B$15*12)),(A161-1)+(-R160)/Q161,"")</f>
        <v/>
      </c>
    </row>
    <row r="162" customFormat="false" ht="15" hidden="false" customHeight="false" outlineLevel="0" collapsed="false">
      <c r="A162" s="10" t="n">
        <f aca="false">A161+1</f>
        <v>158</v>
      </c>
      <c r="B162" s="36" t="n">
        <f aca="false">IF(Premissas!$B$9&lt;=1,1,MIN(1,Premissas!$B$8/100+(1-Premissas!$B$8/100)*(A162-1)/(Premissas!$B$9-1)))</f>
        <v>1</v>
      </c>
      <c r="C162" s="9" t="n">
        <f aca="false">IF(A162&lt;=Resultados!$B$9,Resultados!$B$10,0)</f>
        <v>0</v>
      </c>
      <c r="D162" s="9" t="n">
        <f aca="false">Resultados!$E$37*$B162-Resultados!$F$37*$B162-Premissas!$B$24-Resultados!$E$37*$B162*(Premissas!$B$14/100)</f>
        <v>19027</v>
      </c>
      <c r="E162" s="9" t="n">
        <f aca="false">D162-$C162</f>
        <v>19027</v>
      </c>
      <c r="F162" s="9" t="n">
        <f aca="false">F161+E162</f>
        <v>2616662.9</v>
      </c>
      <c r="G162" s="37" t="str">
        <f aca="false">IF(AND(F161&lt;0,F162&gt;=0,A162&lt;=MAX(120,Premissas!$B$15*12)),(A162-1)+(-F161)/E162,"")</f>
        <v/>
      </c>
      <c r="H162" s="9" t="n">
        <f aca="false">Resultados!$E$38*$B162-Resultados!$F$38*$B162-Premissas!$B$24-Resultados!$E$38*$B162*(Premissas!$B$14/100)</f>
        <v>24432.4</v>
      </c>
      <c r="I162" s="9" t="n">
        <f aca="false">H162-$C162</f>
        <v>24432.4</v>
      </c>
      <c r="J162" s="9" t="n">
        <f aca="false">J161+I162</f>
        <v>3452878.27999999</v>
      </c>
      <c r="K162" s="37" t="str">
        <f aca="false">IF(AND(J161&lt;0,J162&gt;=0,A162&lt;=MAX(120,Premissas!$B$15*12)),(A162-1)+(-J161)/I162,"")</f>
        <v/>
      </c>
      <c r="L162" s="9" t="n">
        <f aca="false">Resultados!$E$39*$B162-Resultados!$F$39*$B162-Premissas!$B$24-Resultados!$E$39*$B162*(Premissas!$B$14/100)</f>
        <v>29837.8</v>
      </c>
      <c r="M162" s="9" t="n">
        <f aca="false">L162-$C162</f>
        <v>29837.8</v>
      </c>
      <c r="N162" s="9" t="n">
        <f aca="false">N161+M162</f>
        <v>4289093.65999999</v>
      </c>
      <c r="O162" s="37" t="str">
        <f aca="false">IF(AND(N161&lt;0,N162&gt;=0,A162&lt;=MAX(120,Premissas!$B$15*12)),(A162-1)+(-N161)/M162,"")</f>
        <v/>
      </c>
      <c r="P162" s="9" t="n">
        <f aca="false">Resultados!$B$19*$B162-Resultados!$B$20*$B162-Premissas!$B$24-Resultados!$B$19*$B162*(Premissas!$B$14/100)</f>
        <v>24432.4</v>
      </c>
      <c r="Q162" s="9" t="n">
        <f aca="false">P162-$C162</f>
        <v>24432.4</v>
      </c>
      <c r="R162" s="9" t="n">
        <f aca="false">R161+Q162</f>
        <v>3452878.27999999</v>
      </c>
      <c r="S162" s="37" t="str">
        <f aca="false">IF(AND(R161&lt;0,R162&gt;=0,A162&lt;=MAX(120,Premissas!$B$15*12)),(A162-1)+(-R161)/Q162,"")</f>
        <v/>
      </c>
    </row>
    <row r="163" customFormat="false" ht="15" hidden="false" customHeight="false" outlineLevel="0" collapsed="false">
      <c r="A163" s="10" t="n">
        <f aca="false">A162+1</f>
        <v>159</v>
      </c>
      <c r="B163" s="36" t="n">
        <f aca="false">IF(Premissas!$B$9&lt;=1,1,MIN(1,Premissas!$B$8/100+(1-Premissas!$B$8/100)*(A163-1)/(Premissas!$B$9-1)))</f>
        <v>1</v>
      </c>
      <c r="C163" s="9" t="n">
        <f aca="false">IF(A163&lt;=Resultados!$B$9,Resultados!$B$10,0)</f>
        <v>0</v>
      </c>
      <c r="D163" s="9" t="n">
        <f aca="false">Resultados!$E$37*$B163-Resultados!$F$37*$B163-Premissas!$B$24-Resultados!$E$37*$B163*(Premissas!$B$14/100)</f>
        <v>19027</v>
      </c>
      <c r="E163" s="9" t="n">
        <f aca="false">D163-$C163</f>
        <v>19027</v>
      </c>
      <c r="F163" s="9" t="n">
        <f aca="false">F162+E163</f>
        <v>2635689.9</v>
      </c>
      <c r="G163" s="37" t="str">
        <f aca="false">IF(AND(F162&lt;0,F163&gt;=0,A163&lt;=MAX(120,Premissas!$B$15*12)),(A163-1)+(-F162)/E163,"")</f>
        <v/>
      </c>
      <c r="H163" s="9" t="n">
        <f aca="false">Resultados!$E$38*$B163-Resultados!$F$38*$B163-Premissas!$B$24-Resultados!$E$38*$B163*(Premissas!$B$14/100)</f>
        <v>24432.4</v>
      </c>
      <c r="I163" s="9" t="n">
        <f aca="false">H163-$C163</f>
        <v>24432.4</v>
      </c>
      <c r="J163" s="9" t="n">
        <f aca="false">J162+I163</f>
        <v>3477310.67999999</v>
      </c>
      <c r="K163" s="37" t="str">
        <f aca="false">IF(AND(J162&lt;0,J163&gt;=0,A163&lt;=MAX(120,Premissas!$B$15*12)),(A163-1)+(-J162)/I163,"")</f>
        <v/>
      </c>
      <c r="L163" s="9" t="n">
        <f aca="false">Resultados!$E$39*$B163-Resultados!$F$39*$B163-Premissas!$B$24-Resultados!$E$39*$B163*(Premissas!$B$14/100)</f>
        <v>29837.8</v>
      </c>
      <c r="M163" s="9" t="n">
        <f aca="false">L163-$C163</f>
        <v>29837.8</v>
      </c>
      <c r="N163" s="9" t="n">
        <f aca="false">N162+M163</f>
        <v>4318931.45999999</v>
      </c>
      <c r="O163" s="37" t="str">
        <f aca="false">IF(AND(N162&lt;0,N163&gt;=0,A163&lt;=MAX(120,Premissas!$B$15*12)),(A163-1)+(-N162)/M163,"")</f>
        <v/>
      </c>
      <c r="P163" s="9" t="n">
        <f aca="false">Resultados!$B$19*$B163-Resultados!$B$20*$B163-Premissas!$B$24-Resultados!$B$19*$B163*(Premissas!$B$14/100)</f>
        <v>24432.4</v>
      </c>
      <c r="Q163" s="9" t="n">
        <f aca="false">P163-$C163</f>
        <v>24432.4</v>
      </c>
      <c r="R163" s="9" t="n">
        <f aca="false">R162+Q163</f>
        <v>3477310.67999999</v>
      </c>
      <c r="S163" s="37" t="str">
        <f aca="false">IF(AND(R162&lt;0,R163&gt;=0,A163&lt;=MAX(120,Premissas!$B$15*12)),(A163-1)+(-R162)/Q163,"")</f>
        <v/>
      </c>
    </row>
    <row r="164" customFormat="false" ht="15" hidden="false" customHeight="false" outlineLevel="0" collapsed="false">
      <c r="A164" s="10" t="n">
        <f aca="false">A163+1</f>
        <v>160</v>
      </c>
      <c r="B164" s="36" t="n">
        <f aca="false">IF(Premissas!$B$9&lt;=1,1,MIN(1,Premissas!$B$8/100+(1-Premissas!$B$8/100)*(A164-1)/(Premissas!$B$9-1)))</f>
        <v>1</v>
      </c>
      <c r="C164" s="9" t="n">
        <f aca="false">IF(A164&lt;=Resultados!$B$9,Resultados!$B$10,0)</f>
        <v>0</v>
      </c>
      <c r="D164" s="9" t="n">
        <f aca="false">Resultados!$E$37*$B164-Resultados!$F$37*$B164-Premissas!$B$24-Resultados!$E$37*$B164*(Premissas!$B$14/100)</f>
        <v>19027</v>
      </c>
      <c r="E164" s="9" t="n">
        <f aca="false">D164-$C164</f>
        <v>19027</v>
      </c>
      <c r="F164" s="9" t="n">
        <f aca="false">F163+E164</f>
        <v>2654716.9</v>
      </c>
      <c r="G164" s="37" t="str">
        <f aca="false">IF(AND(F163&lt;0,F164&gt;=0,A164&lt;=MAX(120,Premissas!$B$15*12)),(A164-1)+(-F163)/E164,"")</f>
        <v/>
      </c>
      <c r="H164" s="9" t="n">
        <f aca="false">Resultados!$E$38*$B164-Resultados!$F$38*$B164-Premissas!$B$24-Resultados!$E$38*$B164*(Premissas!$B$14/100)</f>
        <v>24432.4</v>
      </c>
      <c r="I164" s="9" t="n">
        <f aca="false">H164-$C164</f>
        <v>24432.4</v>
      </c>
      <c r="J164" s="9" t="n">
        <f aca="false">J163+I164</f>
        <v>3501743.07999999</v>
      </c>
      <c r="K164" s="37" t="str">
        <f aca="false">IF(AND(J163&lt;0,J164&gt;=0,A164&lt;=MAX(120,Premissas!$B$15*12)),(A164-1)+(-J163)/I164,"")</f>
        <v/>
      </c>
      <c r="L164" s="9" t="n">
        <f aca="false">Resultados!$E$39*$B164-Resultados!$F$39*$B164-Premissas!$B$24-Resultados!$E$39*$B164*(Premissas!$B$14/100)</f>
        <v>29837.8</v>
      </c>
      <c r="M164" s="9" t="n">
        <f aca="false">L164-$C164</f>
        <v>29837.8</v>
      </c>
      <c r="N164" s="9" t="n">
        <f aca="false">N163+M164</f>
        <v>4348769.25999999</v>
      </c>
      <c r="O164" s="37" t="str">
        <f aca="false">IF(AND(N163&lt;0,N164&gt;=0,A164&lt;=MAX(120,Premissas!$B$15*12)),(A164-1)+(-N163)/M164,"")</f>
        <v/>
      </c>
      <c r="P164" s="9" t="n">
        <f aca="false">Resultados!$B$19*$B164-Resultados!$B$20*$B164-Premissas!$B$24-Resultados!$B$19*$B164*(Premissas!$B$14/100)</f>
        <v>24432.4</v>
      </c>
      <c r="Q164" s="9" t="n">
        <f aca="false">P164-$C164</f>
        <v>24432.4</v>
      </c>
      <c r="R164" s="9" t="n">
        <f aca="false">R163+Q164</f>
        <v>3501743.07999999</v>
      </c>
      <c r="S164" s="37" t="str">
        <f aca="false">IF(AND(R163&lt;0,R164&gt;=0,A164&lt;=MAX(120,Premissas!$B$15*12)),(A164-1)+(-R163)/Q164,"")</f>
        <v/>
      </c>
    </row>
    <row r="165" customFormat="false" ht="15" hidden="false" customHeight="false" outlineLevel="0" collapsed="false">
      <c r="A165" s="10" t="n">
        <f aca="false">A164+1</f>
        <v>161</v>
      </c>
      <c r="B165" s="36" t="n">
        <f aca="false">IF(Premissas!$B$9&lt;=1,1,MIN(1,Premissas!$B$8/100+(1-Premissas!$B$8/100)*(A165-1)/(Premissas!$B$9-1)))</f>
        <v>1</v>
      </c>
      <c r="C165" s="9" t="n">
        <f aca="false">IF(A165&lt;=Resultados!$B$9,Resultados!$B$10,0)</f>
        <v>0</v>
      </c>
      <c r="D165" s="9" t="n">
        <f aca="false">Resultados!$E$37*$B165-Resultados!$F$37*$B165-Premissas!$B$24-Resultados!$E$37*$B165*(Premissas!$B$14/100)</f>
        <v>19027</v>
      </c>
      <c r="E165" s="9" t="n">
        <f aca="false">D165-$C165</f>
        <v>19027</v>
      </c>
      <c r="F165" s="9" t="n">
        <f aca="false">F164+E165</f>
        <v>2673743.9</v>
      </c>
      <c r="G165" s="37" t="str">
        <f aca="false">IF(AND(F164&lt;0,F165&gt;=0,A165&lt;=MAX(120,Premissas!$B$15*12)),(A165-1)+(-F164)/E165,"")</f>
        <v/>
      </c>
      <c r="H165" s="9" t="n">
        <f aca="false">Resultados!$E$38*$B165-Resultados!$F$38*$B165-Premissas!$B$24-Resultados!$E$38*$B165*(Premissas!$B$14/100)</f>
        <v>24432.4</v>
      </c>
      <c r="I165" s="9" t="n">
        <f aca="false">H165-$C165</f>
        <v>24432.4</v>
      </c>
      <c r="J165" s="9" t="n">
        <f aca="false">J164+I165</f>
        <v>3526175.47999999</v>
      </c>
      <c r="K165" s="37" t="str">
        <f aca="false">IF(AND(J164&lt;0,J165&gt;=0,A165&lt;=MAX(120,Premissas!$B$15*12)),(A165-1)+(-J164)/I165,"")</f>
        <v/>
      </c>
      <c r="L165" s="9" t="n">
        <f aca="false">Resultados!$E$39*$B165-Resultados!$F$39*$B165-Premissas!$B$24-Resultados!$E$39*$B165*(Premissas!$B$14/100)</f>
        <v>29837.8</v>
      </c>
      <c r="M165" s="9" t="n">
        <f aca="false">L165-$C165</f>
        <v>29837.8</v>
      </c>
      <c r="N165" s="9" t="n">
        <f aca="false">N164+M165</f>
        <v>4378607.05999999</v>
      </c>
      <c r="O165" s="37" t="str">
        <f aca="false">IF(AND(N164&lt;0,N165&gt;=0,A165&lt;=MAX(120,Premissas!$B$15*12)),(A165-1)+(-N164)/M165,"")</f>
        <v/>
      </c>
      <c r="P165" s="9" t="n">
        <f aca="false">Resultados!$B$19*$B165-Resultados!$B$20*$B165-Premissas!$B$24-Resultados!$B$19*$B165*(Premissas!$B$14/100)</f>
        <v>24432.4</v>
      </c>
      <c r="Q165" s="9" t="n">
        <f aca="false">P165-$C165</f>
        <v>24432.4</v>
      </c>
      <c r="R165" s="9" t="n">
        <f aca="false">R164+Q165</f>
        <v>3526175.47999999</v>
      </c>
      <c r="S165" s="37" t="str">
        <f aca="false">IF(AND(R164&lt;0,R165&gt;=0,A165&lt;=MAX(120,Premissas!$B$15*12)),(A165-1)+(-R164)/Q165,"")</f>
        <v/>
      </c>
    </row>
    <row r="166" customFormat="false" ht="15" hidden="false" customHeight="false" outlineLevel="0" collapsed="false">
      <c r="A166" s="10" t="n">
        <f aca="false">A165+1</f>
        <v>162</v>
      </c>
      <c r="B166" s="36" t="n">
        <f aca="false">IF(Premissas!$B$9&lt;=1,1,MIN(1,Premissas!$B$8/100+(1-Premissas!$B$8/100)*(A166-1)/(Premissas!$B$9-1)))</f>
        <v>1</v>
      </c>
      <c r="C166" s="9" t="n">
        <f aca="false">IF(A166&lt;=Resultados!$B$9,Resultados!$B$10,0)</f>
        <v>0</v>
      </c>
      <c r="D166" s="9" t="n">
        <f aca="false">Resultados!$E$37*$B166-Resultados!$F$37*$B166-Premissas!$B$24-Resultados!$E$37*$B166*(Premissas!$B$14/100)</f>
        <v>19027</v>
      </c>
      <c r="E166" s="9" t="n">
        <f aca="false">D166-$C166</f>
        <v>19027</v>
      </c>
      <c r="F166" s="9" t="n">
        <f aca="false">F165+E166</f>
        <v>2692770.9</v>
      </c>
      <c r="G166" s="37" t="str">
        <f aca="false">IF(AND(F165&lt;0,F166&gt;=0,A166&lt;=MAX(120,Premissas!$B$15*12)),(A166-1)+(-F165)/E166,"")</f>
        <v/>
      </c>
      <c r="H166" s="9" t="n">
        <f aca="false">Resultados!$E$38*$B166-Resultados!$F$38*$B166-Premissas!$B$24-Resultados!$E$38*$B166*(Premissas!$B$14/100)</f>
        <v>24432.4</v>
      </c>
      <c r="I166" s="9" t="n">
        <f aca="false">H166-$C166</f>
        <v>24432.4</v>
      </c>
      <c r="J166" s="9" t="n">
        <f aca="false">J165+I166</f>
        <v>3550607.87999999</v>
      </c>
      <c r="K166" s="37" t="str">
        <f aca="false">IF(AND(J165&lt;0,J166&gt;=0,A166&lt;=MAX(120,Premissas!$B$15*12)),(A166-1)+(-J165)/I166,"")</f>
        <v/>
      </c>
      <c r="L166" s="9" t="n">
        <f aca="false">Resultados!$E$39*$B166-Resultados!$F$39*$B166-Premissas!$B$24-Resultados!$E$39*$B166*(Premissas!$B$14/100)</f>
        <v>29837.8</v>
      </c>
      <c r="M166" s="9" t="n">
        <f aca="false">L166-$C166</f>
        <v>29837.8</v>
      </c>
      <c r="N166" s="9" t="n">
        <f aca="false">N165+M166</f>
        <v>4408444.85999999</v>
      </c>
      <c r="O166" s="37" t="str">
        <f aca="false">IF(AND(N165&lt;0,N166&gt;=0,A166&lt;=MAX(120,Premissas!$B$15*12)),(A166-1)+(-N165)/M166,"")</f>
        <v/>
      </c>
      <c r="P166" s="9" t="n">
        <f aca="false">Resultados!$B$19*$B166-Resultados!$B$20*$B166-Premissas!$B$24-Resultados!$B$19*$B166*(Premissas!$B$14/100)</f>
        <v>24432.4</v>
      </c>
      <c r="Q166" s="9" t="n">
        <f aca="false">P166-$C166</f>
        <v>24432.4</v>
      </c>
      <c r="R166" s="9" t="n">
        <f aca="false">R165+Q166</f>
        <v>3550607.87999999</v>
      </c>
      <c r="S166" s="37" t="str">
        <f aca="false">IF(AND(R165&lt;0,R166&gt;=0,A166&lt;=MAX(120,Premissas!$B$15*12)),(A166-1)+(-R165)/Q166,"")</f>
        <v/>
      </c>
    </row>
    <row r="167" customFormat="false" ht="15" hidden="false" customHeight="false" outlineLevel="0" collapsed="false">
      <c r="A167" s="10" t="n">
        <f aca="false">A166+1</f>
        <v>163</v>
      </c>
      <c r="B167" s="36" t="n">
        <f aca="false">IF(Premissas!$B$9&lt;=1,1,MIN(1,Premissas!$B$8/100+(1-Premissas!$B$8/100)*(A167-1)/(Premissas!$B$9-1)))</f>
        <v>1</v>
      </c>
      <c r="C167" s="9" t="n">
        <f aca="false">IF(A167&lt;=Resultados!$B$9,Resultados!$B$10,0)</f>
        <v>0</v>
      </c>
      <c r="D167" s="9" t="n">
        <f aca="false">Resultados!$E$37*$B167-Resultados!$F$37*$B167-Premissas!$B$24-Resultados!$E$37*$B167*(Premissas!$B$14/100)</f>
        <v>19027</v>
      </c>
      <c r="E167" s="9" t="n">
        <f aca="false">D167-$C167</f>
        <v>19027</v>
      </c>
      <c r="F167" s="9" t="n">
        <f aca="false">F166+E167</f>
        <v>2711797.9</v>
      </c>
      <c r="G167" s="37" t="str">
        <f aca="false">IF(AND(F166&lt;0,F167&gt;=0,A167&lt;=MAX(120,Premissas!$B$15*12)),(A167-1)+(-F166)/E167,"")</f>
        <v/>
      </c>
      <c r="H167" s="9" t="n">
        <f aca="false">Resultados!$E$38*$B167-Resultados!$F$38*$B167-Premissas!$B$24-Resultados!$E$38*$B167*(Premissas!$B$14/100)</f>
        <v>24432.4</v>
      </c>
      <c r="I167" s="9" t="n">
        <f aca="false">H167-$C167</f>
        <v>24432.4</v>
      </c>
      <c r="J167" s="9" t="n">
        <f aca="false">J166+I167</f>
        <v>3575040.27999999</v>
      </c>
      <c r="K167" s="37" t="str">
        <f aca="false">IF(AND(J166&lt;0,J167&gt;=0,A167&lt;=MAX(120,Premissas!$B$15*12)),(A167-1)+(-J166)/I167,"")</f>
        <v/>
      </c>
      <c r="L167" s="9" t="n">
        <f aca="false">Resultados!$E$39*$B167-Resultados!$F$39*$B167-Premissas!$B$24-Resultados!$E$39*$B167*(Premissas!$B$14/100)</f>
        <v>29837.8</v>
      </c>
      <c r="M167" s="9" t="n">
        <f aca="false">L167-$C167</f>
        <v>29837.8</v>
      </c>
      <c r="N167" s="9" t="n">
        <f aca="false">N166+M167</f>
        <v>4438282.65999999</v>
      </c>
      <c r="O167" s="37" t="str">
        <f aca="false">IF(AND(N166&lt;0,N167&gt;=0,A167&lt;=MAX(120,Premissas!$B$15*12)),(A167-1)+(-N166)/M167,"")</f>
        <v/>
      </c>
      <c r="P167" s="9" t="n">
        <f aca="false">Resultados!$B$19*$B167-Resultados!$B$20*$B167-Premissas!$B$24-Resultados!$B$19*$B167*(Premissas!$B$14/100)</f>
        <v>24432.4</v>
      </c>
      <c r="Q167" s="9" t="n">
        <f aca="false">P167-$C167</f>
        <v>24432.4</v>
      </c>
      <c r="R167" s="9" t="n">
        <f aca="false">R166+Q167</f>
        <v>3575040.27999999</v>
      </c>
      <c r="S167" s="37" t="str">
        <f aca="false">IF(AND(R166&lt;0,R167&gt;=0,A167&lt;=MAX(120,Premissas!$B$15*12)),(A167-1)+(-R166)/Q167,"")</f>
        <v/>
      </c>
    </row>
    <row r="168" customFormat="false" ht="15" hidden="false" customHeight="false" outlineLevel="0" collapsed="false">
      <c r="A168" s="10" t="n">
        <f aca="false">A167+1</f>
        <v>164</v>
      </c>
      <c r="B168" s="36" t="n">
        <f aca="false">IF(Premissas!$B$9&lt;=1,1,MIN(1,Premissas!$B$8/100+(1-Premissas!$B$8/100)*(A168-1)/(Premissas!$B$9-1)))</f>
        <v>1</v>
      </c>
      <c r="C168" s="9" t="n">
        <f aca="false">IF(A168&lt;=Resultados!$B$9,Resultados!$B$10,0)</f>
        <v>0</v>
      </c>
      <c r="D168" s="9" t="n">
        <f aca="false">Resultados!$E$37*$B168-Resultados!$F$37*$B168-Premissas!$B$24-Resultados!$E$37*$B168*(Premissas!$B$14/100)</f>
        <v>19027</v>
      </c>
      <c r="E168" s="9" t="n">
        <f aca="false">D168-$C168</f>
        <v>19027</v>
      </c>
      <c r="F168" s="9" t="n">
        <f aca="false">F167+E168</f>
        <v>2730824.9</v>
      </c>
      <c r="G168" s="37" t="str">
        <f aca="false">IF(AND(F167&lt;0,F168&gt;=0,A168&lt;=MAX(120,Premissas!$B$15*12)),(A168-1)+(-F167)/E168,"")</f>
        <v/>
      </c>
      <c r="H168" s="9" t="n">
        <f aca="false">Resultados!$E$38*$B168-Resultados!$F$38*$B168-Premissas!$B$24-Resultados!$E$38*$B168*(Premissas!$B$14/100)</f>
        <v>24432.4</v>
      </c>
      <c r="I168" s="9" t="n">
        <f aca="false">H168-$C168</f>
        <v>24432.4</v>
      </c>
      <c r="J168" s="9" t="n">
        <f aca="false">J167+I168</f>
        <v>3599472.67999999</v>
      </c>
      <c r="K168" s="37" t="str">
        <f aca="false">IF(AND(J167&lt;0,J168&gt;=0,A168&lt;=MAX(120,Premissas!$B$15*12)),(A168-1)+(-J167)/I168,"")</f>
        <v/>
      </c>
      <c r="L168" s="9" t="n">
        <f aca="false">Resultados!$E$39*$B168-Resultados!$F$39*$B168-Premissas!$B$24-Resultados!$E$39*$B168*(Premissas!$B$14/100)</f>
        <v>29837.8</v>
      </c>
      <c r="M168" s="9" t="n">
        <f aca="false">L168-$C168</f>
        <v>29837.8</v>
      </c>
      <c r="N168" s="9" t="n">
        <f aca="false">N167+M168</f>
        <v>4468120.45999999</v>
      </c>
      <c r="O168" s="37" t="str">
        <f aca="false">IF(AND(N167&lt;0,N168&gt;=0,A168&lt;=MAX(120,Premissas!$B$15*12)),(A168-1)+(-N167)/M168,"")</f>
        <v/>
      </c>
      <c r="P168" s="9" t="n">
        <f aca="false">Resultados!$B$19*$B168-Resultados!$B$20*$B168-Premissas!$B$24-Resultados!$B$19*$B168*(Premissas!$B$14/100)</f>
        <v>24432.4</v>
      </c>
      <c r="Q168" s="9" t="n">
        <f aca="false">P168-$C168</f>
        <v>24432.4</v>
      </c>
      <c r="R168" s="9" t="n">
        <f aca="false">R167+Q168</f>
        <v>3599472.67999999</v>
      </c>
      <c r="S168" s="37" t="str">
        <f aca="false">IF(AND(R167&lt;0,R168&gt;=0,A168&lt;=MAX(120,Premissas!$B$15*12)),(A168-1)+(-R167)/Q168,"")</f>
        <v/>
      </c>
    </row>
    <row r="169" customFormat="false" ht="15" hidden="false" customHeight="false" outlineLevel="0" collapsed="false">
      <c r="A169" s="10" t="n">
        <f aca="false">A168+1</f>
        <v>165</v>
      </c>
      <c r="B169" s="36" t="n">
        <f aca="false">IF(Premissas!$B$9&lt;=1,1,MIN(1,Premissas!$B$8/100+(1-Premissas!$B$8/100)*(A169-1)/(Premissas!$B$9-1)))</f>
        <v>1</v>
      </c>
      <c r="C169" s="9" t="n">
        <f aca="false">IF(A169&lt;=Resultados!$B$9,Resultados!$B$10,0)</f>
        <v>0</v>
      </c>
      <c r="D169" s="9" t="n">
        <f aca="false">Resultados!$E$37*$B169-Resultados!$F$37*$B169-Premissas!$B$24-Resultados!$E$37*$B169*(Premissas!$B$14/100)</f>
        <v>19027</v>
      </c>
      <c r="E169" s="9" t="n">
        <f aca="false">D169-$C169</f>
        <v>19027</v>
      </c>
      <c r="F169" s="9" t="n">
        <f aca="false">F168+E169</f>
        <v>2749851.9</v>
      </c>
      <c r="G169" s="37" t="str">
        <f aca="false">IF(AND(F168&lt;0,F169&gt;=0,A169&lt;=MAX(120,Premissas!$B$15*12)),(A169-1)+(-F168)/E169,"")</f>
        <v/>
      </c>
      <c r="H169" s="9" t="n">
        <f aca="false">Resultados!$E$38*$B169-Resultados!$F$38*$B169-Premissas!$B$24-Resultados!$E$38*$B169*(Premissas!$B$14/100)</f>
        <v>24432.4</v>
      </c>
      <c r="I169" s="9" t="n">
        <f aca="false">H169-$C169</f>
        <v>24432.4</v>
      </c>
      <c r="J169" s="9" t="n">
        <f aca="false">J168+I169</f>
        <v>3623905.07999999</v>
      </c>
      <c r="K169" s="37" t="str">
        <f aca="false">IF(AND(J168&lt;0,J169&gt;=0,A169&lt;=MAX(120,Premissas!$B$15*12)),(A169-1)+(-J168)/I169,"")</f>
        <v/>
      </c>
      <c r="L169" s="9" t="n">
        <f aca="false">Resultados!$E$39*$B169-Resultados!$F$39*$B169-Premissas!$B$24-Resultados!$E$39*$B169*(Premissas!$B$14/100)</f>
        <v>29837.8</v>
      </c>
      <c r="M169" s="9" t="n">
        <f aca="false">L169-$C169</f>
        <v>29837.8</v>
      </c>
      <c r="N169" s="9" t="n">
        <f aca="false">N168+M169</f>
        <v>4497958.25999999</v>
      </c>
      <c r="O169" s="37" t="str">
        <f aca="false">IF(AND(N168&lt;0,N169&gt;=0,A169&lt;=MAX(120,Premissas!$B$15*12)),(A169-1)+(-N168)/M169,"")</f>
        <v/>
      </c>
      <c r="P169" s="9" t="n">
        <f aca="false">Resultados!$B$19*$B169-Resultados!$B$20*$B169-Premissas!$B$24-Resultados!$B$19*$B169*(Premissas!$B$14/100)</f>
        <v>24432.4</v>
      </c>
      <c r="Q169" s="9" t="n">
        <f aca="false">P169-$C169</f>
        <v>24432.4</v>
      </c>
      <c r="R169" s="9" t="n">
        <f aca="false">R168+Q169</f>
        <v>3623905.07999999</v>
      </c>
      <c r="S169" s="37" t="str">
        <f aca="false">IF(AND(R168&lt;0,R169&gt;=0,A169&lt;=MAX(120,Premissas!$B$15*12)),(A169-1)+(-R168)/Q169,"")</f>
        <v/>
      </c>
    </row>
    <row r="170" customFormat="false" ht="15" hidden="false" customHeight="false" outlineLevel="0" collapsed="false">
      <c r="A170" s="10" t="n">
        <f aca="false">A169+1</f>
        <v>166</v>
      </c>
      <c r="B170" s="36" t="n">
        <f aca="false">IF(Premissas!$B$9&lt;=1,1,MIN(1,Premissas!$B$8/100+(1-Premissas!$B$8/100)*(A170-1)/(Premissas!$B$9-1)))</f>
        <v>1</v>
      </c>
      <c r="C170" s="9" t="n">
        <f aca="false">IF(A170&lt;=Resultados!$B$9,Resultados!$B$10,0)</f>
        <v>0</v>
      </c>
      <c r="D170" s="9" t="n">
        <f aca="false">Resultados!$E$37*$B170-Resultados!$F$37*$B170-Premissas!$B$24-Resultados!$E$37*$B170*(Premissas!$B$14/100)</f>
        <v>19027</v>
      </c>
      <c r="E170" s="9" t="n">
        <f aca="false">D170-$C170</f>
        <v>19027</v>
      </c>
      <c r="F170" s="9" t="n">
        <f aca="false">F169+E170</f>
        <v>2768878.9</v>
      </c>
      <c r="G170" s="37" t="str">
        <f aca="false">IF(AND(F169&lt;0,F170&gt;=0,A170&lt;=MAX(120,Premissas!$B$15*12)),(A170-1)+(-F169)/E170,"")</f>
        <v/>
      </c>
      <c r="H170" s="9" t="n">
        <f aca="false">Resultados!$E$38*$B170-Resultados!$F$38*$B170-Premissas!$B$24-Resultados!$E$38*$B170*(Premissas!$B$14/100)</f>
        <v>24432.4</v>
      </c>
      <c r="I170" s="9" t="n">
        <f aca="false">H170-$C170</f>
        <v>24432.4</v>
      </c>
      <c r="J170" s="9" t="n">
        <f aca="false">J169+I170</f>
        <v>3648337.47999999</v>
      </c>
      <c r="K170" s="37" t="str">
        <f aca="false">IF(AND(J169&lt;0,J170&gt;=0,A170&lt;=MAX(120,Premissas!$B$15*12)),(A170-1)+(-J169)/I170,"")</f>
        <v/>
      </c>
      <c r="L170" s="9" t="n">
        <f aca="false">Resultados!$E$39*$B170-Resultados!$F$39*$B170-Premissas!$B$24-Resultados!$E$39*$B170*(Premissas!$B$14/100)</f>
        <v>29837.8</v>
      </c>
      <c r="M170" s="9" t="n">
        <f aca="false">L170-$C170</f>
        <v>29837.8</v>
      </c>
      <c r="N170" s="9" t="n">
        <f aca="false">N169+M170</f>
        <v>4527796.05999999</v>
      </c>
      <c r="O170" s="37" t="str">
        <f aca="false">IF(AND(N169&lt;0,N170&gt;=0,A170&lt;=MAX(120,Premissas!$B$15*12)),(A170-1)+(-N169)/M170,"")</f>
        <v/>
      </c>
      <c r="P170" s="9" t="n">
        <f aca="false">Resultados!$B$19*$B170-Resultados!$B$20*$B170-Premissas!$B$24-Resultados!$B$19*$B170*(Premissas!$B$14/100)</f>
        <v>24432.4</v>
      </c>
      <c r="Q170" s="9" t="n">
        <f aca="false">P170-$C170</f>
        <v>24432.4</v>
      </c>
      <c r="R170" s="9" t="n">
        <f aca="false">R169+Q170</f>
        <v>3648337.47999999</v>
      </c>
      <c r="S170" s="37" t="str">
        <f aca="false">IF(AND(R169&lt;0,R170&gt;=0,A170&lt;=MAX(120,Premissas!$B$15*12)),(A170-1)+(-R169)/Q170,"")</f>
        <v/>
      </c>
    </row>
    <row r="171" customFormat="false" ht="15" hidden="false" customHeight="false" outlineLevel="0" collapsed="false">
      <c r="A171" s="10" t="n">
        <f aca="false">A170+1</f>
        <v>167</v>
      </c>
      <c r="B171" s="36" t="n">
        <f aca="false">IF(Premissas!$B$9&lt;=1,1,MIN(1,Premissas!$B$8/100+(1-Premissas!$B$8/100)*(A171-1)/(Premissas!$B$9-1)))</f>
        <v>1</v>
      </c>
      <c r="C171" s="9" t="n">
        <f aca="false">IF(A171&lt;=Resultados!$B$9,Resultados!$B$10,0)</f>
        <v>0</v>
      </c>
      <c r="D171" s="9" t="n">
        <f aca="false">Resultados!$E$37*$B171-Resultados!$F$37*$B171-Premissas!$B$24-Resultados!$E$37*$B171*(Premissas!$B$14/100)</f>
        <v>19027</v>
      </c>
      <c r="E171" s="9" t="n">
        <f aca="false">D171-$C171</f>
        <v>19027</v>
      </c>
      <c r="F171" s="9" t="n">
        <f aca="false">F170+E171</f>
        <v>2787905.9</v>
      </c>
      <c r="G171" s="37" t="str">
        <f aca="false">IF(AND(F170&lt;0,F171&gt;=0,A171&lt;=MAX(120,Premissas!$B$15*12)),(A171-1)+(-F170)/E171,"")</f>
        <v/>
      </c>
      <c r="H171" s="9" t="n">
        <f aca="false">Resultados!$E$38*$B171-Resultados!$F$38*$B171-Premissas!$B$24-Resultados!$E$38*$B171*(Premissas!$B$14/100)</f>
        <v>24432.4</v>
      </c>
      <c r="I171" s="9" t="n">
        <f aca="false">H171-$C171</f>
        <v>24432.4</v>
      </c>
      <c r="J171" s="9" t="n">
        <f aca="false">J170+I171</f>
        <v>3672769.87999999</v>
      </c>
      <c r="K171" s="37" t="str">
        <f aca="false">IF(AND(J170&lt;0,J171&gt;=0,A171&lt;=MAX(120,Premissas!$B$15*12)),(A171-1)+(-J170)/I171,"")</f>
        <v/>
      </c>
      <c r="L171" s="9" t="n">
        <f aca="false">Resultados!$E$39*$B171-Resultados!$F$39*$B171-Premissas!$B$24-Resultados!$E$39*$B171*(Premissas!$B$14/100)</f>
        <v>29837.8</v>
      </c>
      <c r="M171" s="9" t="n">
        <f aca="false">L171-$C171</f>
        <v>29837.8</v>
      </c>
      <c r="N171" s="9" t="n">
        <f aca="false">N170+M171</f>
        <v>4557633.85999999</v>
      </c>
      <c r="O171" s="37" t="str">
        <f aca="false">IF(AND(N170&lt;0,N171&gt;=0,A171&lt;=MAX(120,Premissas!$B$15*12)),(A171-1)+(-N170)/M171,"")</f>
        <v/>
      </c>
      <c r="P171" s="9" t="n">
        <f aca="false">Resultados!$B$19*$B171-Resultados!$B$20*$B171-Premissas!$B$24-Resultados!$B$19*$B171*(Premissas!$B$14/100)</f>
        <v>24432.4</v>
      </c>
      <c r="Q171" s="9" t="n">
        <f aca="false">P171-$C171</f>
        <v>24432.4</v>
      </c>
      <c r="R171" s="9" t="n">
        <f aca="false">R170+Q171</f>
        <v>3672769.87999999</v>
      </c>
      <c r="S171" s="37" t="str">
        <f aca="false">IF(AND(R170&lt;0,R171&gt;=0,A171&lt;=MAX(120,Premissas!$B$15*12)),(A171-1)+(-R170)/Q171,"")</f>
        <v/>
      </c>
    </row>
    <row r="172" customFormat="false" ht="15" hidden="false" customHeight="false" outlineLevel="0" collapsed="false">
      <c r="A172" s="10" t="n">
        <f aca="false">A171+1</f>
        <v>168</v>
      </c>
      <c r="B172" s="36" t="n">
        <f aca="false">IF(Premissas!$B$9&lt;=1,1,MIN(1,Premissas!$B$8/100+(1-Premissas!$B$8/100)*(A172-1)/(Premissas!$B$9-1)))</f>
        <v>1</v>
      </c>
      <c r="C172" s="9" t="n">
        <f aca="false">IF(A172&lt;=Resultados!$B$9,Resultados!$B$10,0)</f>
        <v>0</v>
      </c>
      <c r="D172" s="9" t="n">
        <f aca="false">Resultados!$E$37*$B172-Resultados!$F$37*$B172-Premissas!$B$24-Resultados!$E$37*$B172*(Premissas!$B$14/100)</f>
        <v>19027</v>
      </c>
      <c r="E172" s="9" t="n">
        <f aca="false">D172-$C172</f>
        <v>19027</v>
      </c>
      <c r="F172" s="9" t="n">
        <f aca="false">F171+E172</f>
        <v>2806932.9</v>
      </c>
      <c r="G172" s="37" t="str">
        <f aca="false">IF(AND(F171&lt;0,F172&gt;=0,A172&lt;=MAX(120,Premissas!$B$15*12)),(A172-1)+(-F171)/E172,"")</f>
        <v/>
      </c>
      <c r="H172" s="9" t="n">
        <f aca="false">Resultados!$E$38*$B172-Resultados!$F$38*$B172-Premissas!$B$24-Resultados!$E$38*$B172*(Premissas!$B$14/100)</f>
        <v>24432.4</v>
      </c>
      <c r="I172" s="9" t="n">
        <f aca="false">H172-$C172</f>
        <v>24432.4</v>
      </c>
      <c r="J172" s="9" t="n">
        <f aca="false">J171+I172</f>
        <v>3697202.27999999</v>
      </c>
      <c r="K172" s="37" t="str">
        <f aca="false">IF(AND(J171&lt;0,J172&gt;=0,A172&lt;=MAX(120,Premissas!$B$15*12)),(A172-1)+(-J171)/I172,"")</f>
        <v/>
      </c>
      <c r="L172" s="9" t="n">
        <f aca="false">Resultados!$E$39*$B172-Resultados!$F$39*$B172-Premissas!$B$24-Resultados!$E$39*$B172*(Premissas!$B$14/100)</f>
        <v>29837.8</v>
      </c>
      <c r="M172" s="9" t="n">
        <f aca="false">L172-$C172</f>
        <v>29837.8</v>
      </c>
      <c r="N172" s="9" t="n">
        <f aca="false">N171+M172</f>
        <v>4587471.65999999</v>
      </c>
      <c r="O172" s="37" t="str">
        <f aca="false">IF(AND(N171&lt;0,N172&gt;=0,A172&lt;=MAX(120,Premissas!$B$15*12)),(A172-1)+(-N171)/M172,"")</f>
        <v/>
      </c>
      <c r="P172" s="9" t="n">
        <f aca="false">Resultados!$B$19*$B172-Resultados!$B$20*$B172-Premissas!$B$24-Resultados!$B$19*$B172*(Premissas!$B$14/100)</f>
        <v>24432.4</v>
      </c>
      <c r="Q172" s="9" t="n">
        <f aca="false">P172-$C172</f>
        <v>24432.4</v>
      </c>
      <c r="R172" s="9" t="n">
        <f aca="false">R171+Q172</f>
        <v>3697202.27999999</v>
      </c>
      <c r="S172" s="37" t="str">
        <f aca="false">IF(AND(R171&lt;0,R172&gt;=0,A172&lt;=MAX(120,Premissas!$B$15*12)),(A172-1)+(-R171)/Q172,"")</f>
        <v/>
      </c>
    </row>
    <row r="173" customFormat="false" ht="15" hidden="false" customHeight="false" outlineLevel="0" collapsed="false">
      <c r="A173" s="10" t="n">
        <f aca="false">A172+1</f>
        <v>169</v>
      </c>
      <c r="B173" s="36" t="n">
        <f aca="false">IF(Premissas!$B$9&lt;=1,1,MIN(1,Premissas!$B$8/100+(1-Premissas!$B$8/100)*(A173-1)/(Premissas!$B$9-1)))</f>
        <v>1</v>
      </c>
      <c r="C173" s="9" t="n">
        <f aca="false">IF(A173&lt;=Resultados!$B$9,Resultados!$B$10,0)</f>
        <v>0</v>
      </c>
      <c r="D173" s="9" t="n">
        <f aca="false">Resultados!$E$37*$B173-Resultados!$F$37*$B173-Premissas!$B$24-Resultados!$E$37*$B173*(Premissas!$B$14/100)</f>
        <v>19027</v>
      </c>
      <c r="E173" s="9" t="n">
        <f aca="false">D173-$C173</f>
        <v>19027</v>
      </c>
      <c r="F173" s="9" t="n">
        <f aca="false">F172+E173</f>
        <v>2825959.9</v>
      </c>
      <c r="G173" s="37" t="str">
        <f aca="false">IF(AND(F172&lt;0,F173&gt;=0,A173&lt;=MAX(120,Premissas!$B$15*12)),(A173-1)+(-F172)/E173,"")</f>
        <v/>
      </c>
      <c r="H173" s="9" t="n">
        <f aca="false">Resultados!$E$38*$B173-Resultados!$F$38*$B173-Premissas!$B$24-Resultados!$E$38*$B173*(Premissas!$B$14/100)</f>
        <v>24432.4</v>
      </c>
      <c r="I173" s="9" t="n">
        <f aca="false">H173-$C173</f>
        <v>24432.4</v>
      </c>
      <c r="J173" s="9" t="n">
        <f aca="false">J172+I173</f>
        <v>3721634.67999999</v>
      </c>
      <c r="K173" s="37" t="str">
        <f aca="false">IF(AND(J172&lt;0,J173&gt;=0,A173&lt;=MAX(120,Premissas!$B$15*12)),(A173-1)+(-J172)/I173,"")</f>
        <v/>
      </c>
      <c r="L173" s="9" t="n">
        <f aca="false">Resultados!$E$39*$B173-Resultados!$F$39*$B173-Premissas!$B$24-Resultados!$E$39*$B173*(Premissas!$B$14/100)</f>
        <v>29837.8</v>
      </c>
      <c r="M173" s="9" t="n">
        <f aca="false">L173-$C173</f>
        <v>29837.8</v>
      </c>
      <c r="N173" s="9" t="n">
        <f aca="false">N172+M173</f>
        <v>4617309.45999999</v>
      </c>
      <c r="O173" s="37" t="str">
        <f aca="false">IF(AND(N172&lt;0,N173&gt;=0,A173&lt;=MAX(120,Premissas!$B$15*12)),(A173-1)+(-N172)/M173,"")</f>
        <v/>
      </c>
      <c r="P173" s="9" t="n">
        <f aca="false">Resultados!$B$19*$B173-Resultados!$B$20*$B173-Premissas!$B$24-Resultados!$B$19*$B173*(Premissas!$B$14/100)</f>
        <v>24432.4</v>
      </c>
      <c r="Q173" s="9" t="n">
        <f aca="false">P173-$C173</f>
        <v>24432.4</v>
      </c>
      <c r="R173" s="9" t="n">
        <f aca="false">R172+Q173</f>
        <v>3721634.67999999</v>
      </c>
      <c r="S173" s="37" t="str">
        <f aca="false">IF(AND(R172&lt;0,R173&gt;=0,A173&lt;=MAX(120,Premissas!$B$15*12)),(A173-1)+(-R172)/Q173,"")</f>
        <v/>
      </c>
    </row>
    <row r="174" customFormat="false" ht="15" hidden="false" customHeight="false" outlineLevel="0" collapsed="false">
      <c r="A174" s="10" t="n">
        <f aca="false">A173+1</f>
        <v>170</v>
      </c>
      <c r="B174" s="36" t="n">
        <f aca="false">IF(Premissas!$B$9&lt;=1,1,MIN(1,Premissas!$B$8/100+(1-Premissas!$B$8/100)*(A174-1)/(Premissas!$B$9-1)))</f>
        <v>1</v>
      </c>
      <c r="C174" s="9" t="n">
        <f aca="false">IF(A174&lt;=Resultados!$B$9,Resultados!$B$10,0)</f>
        <v>0</v>
      </c>
      <c r="D174" s="9" t="n">
        <f aca="false">Resultados!$E$37*$B174-Resultados!$F$37*$B174-Premissas!$B$24-Resultados!$E$37*$B174*(Premissas!$B$14/100)</f>
        <v>19027</v>
      </c>
      <c r="E174" s="9" t="n">
        <f aca="false">D174-$C174</f>
        <v>19027</v>
      </c>
      <c r="F174" s="9" t="n">
        <f aca="false">F173+E174</f>
        <v>2844986.9</v>
      </c>
      <c r="G174" s="37" t="str">
        <f aca="false">IF(AND(F173&lt;0,F174&gt;=0,A174&lt;=MAX(120,Premissas!$B$15*12)),(A174-1)+(-F173)/E174,"")</f>
        <v/>
      </c>
      <c r="H174" s="9" t="n">
        <f aca="false">Resultados!$E$38*$B174-Resultados!$F$38*$B174-Premissas!$B$24-Resultados!$E$38*$B174*(Premissas!$B$14/100)</f>
        <v>24432.4</v>
      </c>
      <c r="I174" s="9" t="n">
        <f aca="false">H174-$C174</f>
        <v>24432.4</v>
      </c>
      <c r="J174" s="9" t="n">
        <f aca="false">J173+I174</f>
        <v>3746067.07999999</v>
      </c>
      <c r="K174" s="37" t="str">
        <f aca="false">IF(AND(J173&lt;0,J174&gt;=0,A174&lt;=MAX(120,Premissas!$B$15*12)),(A174-1)+(-J173)/I174,"")</f>
        <v/>
      </c>
      <c r="L174" s="9" t="n">
        <f aca="false">Resultados!$E$39*$B174-Resultados!$F$39*$B174-Premissas!$B$24-Resultados!$E$39*$B174*(Premissas!$B$14/100)</f>
        <v>29837.8</v>
      </c>
      <c r="M174" s="9" t="n">
        <f aca="false">L174-$C174</f>
        <v>29837.8</v>
      </c>
      <c r="N174" s="9" t="n">
        <f aca="false">N173+M174</f>
        <v>4647147.25999999</v>
      </c>
      <c r="O174" s="37" t="str">
        <f aca="false">IF(AND(N173&lt;0,N174&gt;=0,A174&lt;=MAX(120,Premissas!$B$15*12)),(A174-1)+(-N173)/M174,"")</f>
        <v/>
      </c>
      <c r="P174" s="9" t="n">
        <f aca="false">Resultados!$B$19*$B174-Resultados!$B$20*$B174-Premissas!$B$24-Resultados!$B$19*$B174*(Premissas!$B$14/100)</f>
        <v>24432.4</v>
      </c>
      <c r="Q174" s="9" t="n">
        <f aca="false">P174-$C174</f>
        <v>24432.4</v>
      </c>
      <c r="R174" s="9" t="n">
        <f aca="false">R173+Q174</f>
        <v>3746067.07999999</v>
      </c>
      <c r="S174" s="37" t="str">
        <f aca="false">IF(AND(R173&lt;0,R174&gt;=0,A174&lt;=MAX(120,Premissas!$B$15*12)),(A174-1)+(-R173)/Q174,"")</f>
        <v/>
      </c>
    </row>
    <row r="175" customFormat="false" ht="15" hidden="false" customHeight="false" outlineLevel="0" collapsed="false">
      <c r="A175" s="10" t="n">
        <f aca="false">A174+1</f>
        <v>171</v>
      </c>
      <c r="B175" s="36" t="n">
        <f aca="false">IF(Premissas!$B$9&lt;=1,1,MIN(1,Premissas!$B$8/100+(1-Premissas!$B$8/100)*(A175-1)/(Premissas!$B$9-1)))</f>
        <v>1</v>
      </c>
      <c r="C175" s="9" t="n">
        <f aca="false">IF(A175&lt;=Resultados!$B$9,Resultados!$B$10,0)</f>
        <v>0</v>
      </c>
      <c r="D175" s="9" t="n">
        <f aca="false">Resultados!$E$37*$B175-Resultados!$F$37*$B175-Premissas!$B$24-Resultados!$E$37*$B175*(Premissas!$B$14/100)</f>
        <v>19027</v>
      </c>
      <c r="E175" s="9" t="n">
        <f aca="false">D175-$C175</f>
        <v>19027</v>
      </c>
      <c r="F175" s="9" t="n">
        <f aca="false">F174+E175</f>
        <v>2864013.9</v>
      </c>
      <c r="G175" s="37" t="str">
        <f aca="false">IF(AND(F174&lt;0,F175&gt;=0,A175&lt;=MAX(120,Premissas!$B$15*12)),(A175-1)+(-F174)/E175,"")</f>
        <v/>
      </c>
      <c r="H175" s="9" t="n">
        <f aca="false">Resultados!$E$38*$B175-Resultados!$F$38*$B175-Premissas!$B$24-Resultados!$E$38*$B175*(Premissas!$B$14/100)</f>
        <v>24432.4</v>
      </c>
      <c r="I175" s="9" t="n">
        <f aca="false">H175-$C175</f>
        <v>24432.4</v>
      </c>
      <c r="J175" s="9" t="n">
        <f aca="false">J174+I175</f>
        <v>3770499.47999999</v>
      </c>
      <c r="K175" s="37" t="str">
        <f aca="false">IF(AND(J174&lt;0,J175&gt;=0,A175&lt;=MAX(120,Premissas!$B$15*12)),(A175-1)+(-J174)/I175,"")</f>
        <v/>
      </c>
      <c r="L175" s="9" t="n">
        <f aca="false">Resultados!$E$39*$B175-Resultados!$F$39*$B175-Premissas!$B$24-Resultados!$E$39*$B175*(Premissas!$B$14/100)</f>
        <v>29837.8</v>
      </c>
      <c r="M175" s="9" t="n">
        <f aca="false">L175-$C175</f>
        <v>29837.8</v>
      </c>
      <c r="N175" s="9" t="n">
        <f aca="false">N174+M175</f>
        <v>4676985.05999999</v>
      </c>
      <c r="O175" s="37" t="str">
        <f aca="false">IF(AND(N174&lt;0,N175&gt;=0,A175&lt;=MAX(120,Premissas!$B$15*12)),(A175-1)+(-N174)/M175,"")</f>
        <v/>
      </c>
      <c r="P175" s="9" t="n">
        <f aca="false">Resultados!$B$19*$B175-Resultados!$B$20*$B175-Premissas!$B$24-Resultados!$B$19*$B175*(Premissas!$B$14/100)</f>
        <v>24432.4</v>
      </c>
      <c r="Q175" s="9" t="n">
        <f aca="false">P175-$C175</f>
        <v>24432.4</v>
      </c>
      <c r="R175" s="9" t="n">
        <f aca="false">R174+Q175</f>
        <v>3770499.47999999</v>
      </c>
      <c r="S175" s="37" t="str">
        <f aca="false">IF(AND(R174&lt;0,R175&gt;=0,A175&lt;=MAX(120,Premissas!$B$15*12)),(A175-1)+(-R174)/Q175,"")</f>
        <v/>
      </c>
    </row>
    <row r="176" customFormat="false" ht="15" hidden="false" customHeight="false" outlineLevel="0" collapsed="false">
      <c r="A176" s="10" t="n">
        <f aca="false">A175+1</f>
        <v>172</v>
      </c>
      <c r="B176" s="36" t="n">
        <f aca="false">IF(Premissas!$B$9&lt;=1,1,MIN(1,Premissas!$B$8/100+(1-Premissas!$B$8/100)*(A176-1)/(Premissas!$B$9-1)))</f>
        <v>1</v>
      </c>
      <c r="C176" s="9" t="n">
        <f aca="false">IF(A176&lt;=Resultados!$B$9,Resultados!$B$10,0)</f>
        <v>0</v>
      </c>
      <c r="D176" s="9" t="n">
        <f aca="false">Resultados!$E$37*$B176-Resultados!$F$37*$B176-Premissas!$B$24-Resultados!$E$37*$B176*(Premissas!$B$14/100)</f>
        <v>19027</v>
      </c>
      <c r="E176" s="9" t="n">
        <f aca="false">D176-$C176</f>
        <v>19027</v>
      </c>
      <c r="F176" s="9" t="n">
        <f aca="false">F175+E176</f>
        <v>2883040.9</v>
      </c>
      <c r="G176" s="37" t="str">
        <f aca="false">IF(AND(F175&lt;0,F176&gt;=0,A176&lt;=MAX(120,Premissas!$B$15*12)),(A176-1)+(-F175)/E176,"")</f>
        <v/>
      </c>
      <c r="H176" s="9" t="n">
        <f aca="false">Resultados!$E$38*$B176-Resultados!$F$38*$B176-Premissas!$B$24-Resultados!$E$38*$B176*(Premissas!$B$14/100)</f>
        <v>24432.4</v>
      </c>
      <c r="I176" s="9" t="n">
        <f aca="false">H176-$C176</f>
        <v>24432.4</v>
      </c>
      <c r="J176" s="9" t="n">
        <f aca="false">J175+I176</f>
        <v>3794931.87999999</v>
      </c>
      <c r="K176" s="37" t="str">
        <f aca="false">IF(AND(J175&lt;0,J176&gt;=0,A176&lt;=MAX(120,Premissas!$B$15*12)),(A176-1)+(-J175)/I176,"")</f>
        <v/>
      </c>
      <c r="L176" s="9" t="n">
        <f aca="false">Resultados!$E$39*$B176-Resultados!$F$39*$B176-Premissas!$B$24-Resultados!$E$39*$B176*(Premissas!$B$14/100)</f>
        <v>29837.8</v>
      </c>
      <c r="M176" s="9" t="n">
        <f aca="false">L176-$C176</f>
        <v>29837.8</v>
      </c>
      <c r="N176" s="9" t="n">
        <f aca="false">N175+M176</f>
        <v>4706822.85999999</v>
      </c>
      <c r="O176" s="37" t="str">
        <f aca="false">IF(AND(N175&lt;0,N176&gt;=0,A176&lt;=MAX(120,Premissas!$B$15*12)),(A176-1)+(-N175)/M176,"")</f>
        <v/>
      </c>
      <c r="P176" s="9" t="n">
        <f aca="false">Resultados!$B$19*$B176-Resultados!$B$20*$B176-Premissas!$B$24-Resultados!$B$19*$B176*(Premissas!$B$14/100)</f>
        <v>24432.4</v>
      </c>
      <c r="Q176" s="9" t="n">
        <f aca="false">P176-$C176</f>
        <v>24432.4</v>
      </c>
      <c r="R176" s="9" t="n">
        <f aca="false">R175+Q176</f>
        <v>3794931.87999999</v>
      </c>
      <c r="S176" s="37" t="str">
        <f aca="false">IF(AND(R175&lt;0,R176&gt;=0,A176&lt;=MAX(120,Premissas!$B$15*12)),(A176-1)+(-R175)/Q176,"")</f>
        <v/>
      </c>
    </row>
    <row r="177" customFormat="false" ht="15" hidden="false" customHeight="false" outlineLevel="0" collapsed="false">
      <c r="A177" s="10" t="n">
        <f aca="false">A176+1</f>
        <v>173</v>
      </c>
      <c r="B177" s="36" t="n">
        <f aca="false">IF(Premissas!$B$9&lt;=1,1,MIN(1,Premissas!$B$8/100+(1-Premissas!$B$8/100)*(A177-1)/(Premissas!$B$9-1)))</f>
        <v>1</v>
      </c>
      <c r="C177" s="9" t="n">
        <f aca="false">IF(A177&lt;=Resultados!$B$9,Resultados!$B$10,0)</f>
        <v>0</v>
      </c>
      <c r="D177" s="9" t="n">
        <f aca="false">Resultados!$E$37*$B177-Resultados!$F$37*$B177-Premissas!$B$24-Resultados!$E$37*$B177*(Premissas!$B$14/100)</f>
        <v>19027</v>
      </c>
      <c r="E177" s="9" t="n">
        <f aca="false">D177-$C177</f>
        <v>19027</v>
      </c>
      <c r="F177" s="9" t="n">
        <f aca="false">F176+E177</f>
        <v>2902067.9</v>
      </c>
      <c r="G177" s="37" t="str">
        <f aca="false">IF(AND(F176&lt;0,F177&gt;=0,A177&lt;=MAX(120,Premissas!$B$15*12)),(A177-1)+(-F176)/E177,"")</f>
        <v/>
      </c>
      <c r="H177" s="9" t="n">
        <f aca="false">Resultados!$E$38*$B177-Resultados!$F$38*$B177-Premissas!$B$24-Resultados!$E$38*$B177*(Premissas!$B$14/100)</f>
        <v>24432.4</v>
      </c>
      <c r="I177" s="9" t="n">
        <f aca="false">H177-$C177</f>
        <v>24432.4</v>
      </c>
      <c r="J177" s="9" t="n">
        <f aca="false">J176+I177</f>
        <v>3819364.27999999</v>
      </c>
      <c r="K177" s="37" t="str">
        <f aca="false">IF(AND(J176&lt;0,J177&gt;=0,A177&lt;=MAX(120,Premissas!$B$15*12)),(A177-1)+(-J176)/I177,"")</f>
        <v/>
      </c>
      <c r="L177" s="9" t="n">
        <f aca="false">Resultados!$E$39*$B177-Resultados!$F$39*$B177-Premissas!$B$24-Resultados!$E$39*$B177*(Premissas!$B$14/100)</f>
        <v>29837.8</v>
      </c>
      <c r="M177" s="9" t="n">
        <f aca="false">L177-$C177</f>
        <v>29837.8</v>
      </c>
      <c r="N177" s="9" t="n">
        <f aca="false">N176+M177</f>
        <v>4736660.65999999</v>
      </c>
      <c r="O177" s="37" t="str">
        <f aca="false">IF(AND(N176&lt;0,N177&gt;=0,A177&lt;=MAX(120,Premissas!$B$15*12)),(A177-1)+(-N176)/M177,"")</f>
        <v/>
      </c>
      <c r="P177" s="9" t="n">
        <f aca="false">Resultados!$B$19*$B177-Resultados!$B$20*$B177-Premissas!$B$24-Resultados!$B$19*$B177*(Premissas!$B$14/100)</f>
        <v>24432.4</v>
      </c>
      <c r="Q177" s="9" t="n">
        <f aca="false">P177-$C177</f>
        <v>24432.4</v>
      </c>
      <c r="R177" s="9" t="n">
        <f aca="false">R176+Q177</f>
        <v>3819364.27999999</v>
      </c>
      <c r="S177" s="37" t="str">
        <f aca="false">IF(AND(R176&lt;0,R177&gt;=0,A177&lt;=MAX(120,Premissas!$B$15*12)),(A177-1)+(-R176)/Q177,"")</f>
        <v/>
      </c>
    </row>
    <row r="178" customFormat="false" ht="15" hidden="false" customHeight="false" outlineLevel="0" collapsed="false">
      <c r="A178" s="10" t="n">
        <f aca="false">A177+1</f>
        <v>174</v>
      </c>
      <c r="B178" s="36" t="n">
        <f aca="false">IF(Premissas!$B$9&lt;=1,1,MIN(1,Premissas!$B$8/100+(1-Premissas!$B$8/100)*(A178-1)/(Premissas!$B$9-1)))</f>
        <v>1</v>
      </c>
      <c r="C178" s="9" t="n">
        <f aca="false">IF(A178&lt;=Resultados!$B$9,Resultados!$B$10,0)</f>
        <v>0</v>
      </c>
      <c r="D178" s="9" t="n">
        <f aca="false">Resultados!$E$37*$B178-Resultados!$F$37*$B178-Premissas!$B$24-Resultados!$E$37*$B178*(Premissas!$B$14/100)</f>
        <v>19027</v>
      </c>
      <c r="E178" s="9" t="n">
        <f aca="false">D178-$C178</f>
        <v>19027</v>
      </c>
      <c r="F178" s="9" t="n">
        <f aca="false">F177+E178</f>
        <v>2921094.9</v>
      </c>
      <c r="G178" s="37" t="str">
        <f aca="false">IF(AND(F177&lt;0,F178&gt;=0,A178&lt;=MAX(120,Premissas!$B$15*12)),(A178-1)+(-F177)/E178,"")</f>
        <v/>
      </c>
      <c r="H178" s="9" t="n">
        <f aca="false">Resultados!$E$38*$B178-Resultados!$F$38*$B178-Premissas!$B$24-Resultados!$E$38*$B178*(Premissas!$B$14/100)</f>
        <v>24432.4</v>
      </c>
      <c r="I178" s="9" t="n">
        <f aca="false">H178-$C178</f>
        <v>24432.4</v>
      </c>
      <c r="J178" s="9" t="n">
        <f aca="false">J177+I178</f>
        <v>3843796.67999999</v>
      </c>
      <c r="K178" s="37" t="str">
        <f aca="false">IF(AND(J177&lt;0,J178&gt;=0,A178&lt;=MAX(120,Premissas!$B$15*12)),(A178-1)+(-J177)/I178,"")</f>
        <v/>
      </c>
      <c r="L178" s="9" t="n">
        <f aca="false">Resultados!$E$39*$B178-Resultados!$F$39*$B178-Premissas!$B$24-Resultados!$E$39*$B178*(Premissas!$B$14/100)</f>
        <v>29837.8</v>
      </c>
      <c r="M178" s="9" t="n">
        <f aca="false">L178-$C178</f>
        <v>29837.8</v>
      </c>
      <c r="N178" s="9" t="n">
        <f aca="false">N177+M178</f>
        <v>4766498.45999999</v>
      </c>
      <c r="O178" s="37" t="str">
        <f aca="false">IF(AND(N177&lt;0,N178&gt;=0,A178&lt;=MAX(120,Premissas!$B$15*12)),(A178-1)+(-N177)/M178,"")</f>
        <v/>
      </c>
      <c r="P178" s="9" t="n">
        <f aca="false">Resultados!$B$19*$B178-Resultados!$B$20*$B178-Premissas!$B$24-Resultados!$B$19*$B178*(Premissas!$B$14/100)</f>
        <v>24432.4</v>
      </c>
      <c r="Q178" s="9" t="n">
        <f aca="false">P178-$C178</f>
        <v>24432.4</v>
      </c>
      <c r="R178" s="9" t="n">
        <f aca="false">R177+Q178</f>
        <v>3843796.67999999</v>
      </c>
      <c r="S178" s="37" t="str">
        <f aca="false">IF(AND(R177&lt;0,R178&gt;=0,A178&lt;=MAX(120,Premissas!$B$15*12)),(A178-1)+(-R177)/Q178,"")</f>
        <v/>
      </c>
    </row>
    <row r="179" customFormat="false" ht="15" hidden="false" customHeight="false" outlineLevel="0" collapsed="false">
      <c r="A179" s="10" t="n">
        <f aca="false">A178+1</f>
        <v>175</v>
      </c>
      <c r="B179" s="36" t="n">
        <f aca="false">IF(Premissas!$B$9&lt;=1,1,MIN(1,Premissas!$B$8/100+(1-Premissas!$B$8/100)*(A179-1)/(Premissas!$B$9-1)))</f>
        <v>1</v>
      </c>
      <c r="C179" s="9" t="n">
        <f aca="false">IF(A179&lt;=Resultados!$B$9,Resultados!$B$10,0)</f>
        <v>0</v>
      </c>
      <c r="D179" s="9" t="n">
        <f aca="false">Resultados!$E$37*$B179-Resultados!$F$37*$B179-Premissas!$B$24-Resultados!$E$37*$B179*(Premissas!$B$14/100)</f>
        <v>19027</v>
      </c>
      <c r="E179" s="9" t="n">
        <f aca="false">D179-$C179</f>
        <v>19027</v>
      </c>
      <c r="F179" s="9" t="n">
        <f aca="false">F178+E179</f>
        <v>2940121.9</v>
      </c>
      <c r="G179" s="37" t="str">
        <f aca="false">IF(AND(F178&lt;0,F179&gt;=0,A179&lt;=MAX(120,Premissas!$B$15*12)),(A179-1)+(-F178)/E179,"")</f>
        <v/>
      </c>
      <c r="H179" s="9" t="n">
        <f aca="false">Resultados!$E$38*$B179-Resultados!$F$38*$B179-Premissas!$B$24-Resultados!$E$38*$B179*(Premissas!$B$14/100)</f>
        <v>24432.4</v>
      </c>
      <c r="I179" s="9" t="n">
        <f aca="false">H179-$C179</f>
        <v>24432.4</v>
      </c>
      <c r="J179" s="9" t="n">
        <f aca="false">J178+I179</f>
        <v>3868229.07999999</v>
      </c>
      <c r="K179" s="37" t="str">
        <f aca="false">IF(AND(J178&lt;0,J179&gt;=0,A179&lt;=MAX(120,Premissas!$B$15*12)),(A179-1)+(-J178)/I179,"")</f>
        <v/>
      </c>
      <c r="L179" s="9" t="n">
        <f aca="false">Resultados!$E$39*$B179-Resultados!$F$39*$B179-Premissas!$B$24-Resultados!$E$39*$B179*(Premissas!$B$14/100)</f>
        <v>29837.8</v>
      </c>
      <c r="M179" s="9" t="n">
        <f aca="false">L179-$C179</f>
        <v>29837.8</v>
      </c>
      <c r="N179" s="9" t="n">
        <f aca="false">N178+M179</f>
        <v>4796336.25999999</v>
      </c>
      <c r="O179" s="37" t="str">
        <f aca="false">IF(AND(N178&lt;0,N179&gt;=0,A179&lt;=MAX(120,Premissas!$B$15*12)),(A179-1)+(-N178)/M179,"")</f>
        <v/>
      </c>
      <c r="P179" s="9" t="n">
        <f aca="false">Resultados!$B$19*$B179-Resultados!$B$20*$B179-Premissas!$B$24-Resultados!$B$19*$B179*(Premissas!$B$14/100)</f>
        <v>24432.4</v>
      </c>
      <c r="Q179" s="9" t="n">
        <f aca="false">P179-$C179</f>
        <v>24432.4</v>
      </c>
      <c r="R179" s="9" t="n">
        <f aca="false">R178+Q179</f>
        <v>3868229.07999999</v>
      </c>
      <c r="S179" s="37" t="str">
        <f aca="false">IF(AND(R178&lt;0,R179&gt;=0,A179&lt;=MAX(120,Premissas!$B$15*12)),(A179-1)+(-R178)/Q179,"")</f>
        <v/>
      </c>
    </row>
    <row r="180" customFormat="false" ht="15" hidden="false" customHeight="false" outlineLevel="0" collapsed="false">
      <c r="A180" s="10" t="n">
        <f aca="false">A179+1</f>
        <v>176</v>
      </c>
      <c r="B180" s="36" t="n">
        <f aca="false">IF(Premissas!$B$9&lt;=1,1,MIN(1,Premissas!$B$8/100+(1-Premissas!$B$8/100)*(A180-1)/(Premissas!$B$9-1)))</f>
        <v>1</v>
      </c>
      <c r="C180" s="9" t="n">
        <f aca="false">IF(A180&lt;=Resultados!$B$9,Resultados!$B$10,0)</f>
        <v>0</v>
      </c>
      <c r="D180" s="9" t="n">
        <f aca="false">Resultados!$E$37*$B180-Resultados!$F$37*$B180-Premissas!$B$24-Resultados!$E$37*$B180*(Premissas!$B$14/100)</f>
        <v>19027</v>
      </c>
      <c r="E180" s="9" t="n">
        <f aca="false">D180-$C180</f>
        <v>19027</v>
      </c>
      <c r="F180" s="9" t="n">
        <f aca="false">F179+E180</f>
        <v>2959148.9</v>
      </c>
      <c r="G180" s="37" t="str">
        <f aca="false">IF(AND(F179&lt;0,F180&gt;=0,A180&lt;=MAX(120,Premissas!$B$15*12)),(A180-1)+(-F179)/E180,"")</f>
        <v/>
      </c>
      <c r="H180" s="9" t="n">
        <f aca="false">Resultados!$E$38*$B180-Resultados!$F$38*$B180-Premissas!$B$24-Resultados!$E$38*$B180*(Premissas!$B$14/100)</f>
        <v>24432.4</v>
      </c>
      <c r="I180" s="9" t="n">
        <f aca="false">H180-$C180</f>
        <v>24432.4</v>
      </c>
      <c r="J180" s="9" t="n">
        <f aca="false">J179+I180</f>
        <v>3892661.47999999</v>
      </c>
      <c r="K180" s="37" t="str">
        <f aca="false">IF(AND(J179&lt;0,J180&gt;=0,A180&lt;=MAX(120,Premissas!$B$15*12)),(A180-1)+(-J179)/I180,"")</f>
        <v/>
      </c>
      <c r="L180" s="9" t="n">
        <f aca="false">Resultados!$E$39*$B180-Resultados!$F$39*$B180-Premissas!$B$24-Resultados!$E$39*$B180*(Premissas!$B$14/100)</f>
        <v>29837.8</v>
      </c>
      <c r="M180" s="9" t="n">
        <f aca="false">L180-$C180</f>
        <v>29837.8</v>
      </c>
      <c r="N180" s="9" t="n">
        <f aca="false">N179+M180</f>
        <v>4826174.05999999</v>
      </c>
      <c r="O180" s="37" t="str">
        <f aca="false">IF(AND(N179&lt;0,N180&gt;=0,A180&lt;=MAX(120,Premissas!$B$15*12)),(A180-1)+(-N179)/M180,"")</f>
        <v/>
      </c>
      <c r="P180" s="9" t="n">
        <f aca="false">Resultados!$B$19*$B180-Resultados!$B$20*$B180-Premissas!$B$24-Resultados!$B$19*$B180*(Premissas!$B$14/100)</f>
        <v>24432.4</v>
      </c>
      <c r="Q180" s="9" t="n">
        <f aca="false">P180-$C180</f>
        <v>24432.4</v>
      </c>
      <c r="R180" s="9" t="n">
        <f aca="false">R179+Q180</f>
        <v>3892661.47999999</v>
      </c>
      <c r="S180" s="37" t="str">
        <f aca="false">IF(AND(R179&lt;0,R180&gt;=0,A180&lt;=MAX(120,Premissas!$B$15*12)),(A180-1)+(-R179)/Q180,"")</f>
        <v/>
      </c>
    </row>
    <row r="181" customFormat="false" ht="15" hidden="false" customHeight="false" outlineLevel="0" collapsed="false">
      <c r="A181" s="10" t="n">
        <f aca="false">A180+1</f>
        <v>177</v>
      </c>
      <c r="B181" s="36" t="n">
        <f aca="false">IF(Premissas!$B$9&lt;=1,1,MIN(1,Premissas!$B$8/100+(1-Premissas!$B$8/100)*(A181-1)/(Premissas!$B$9-1)))</f>
        <v>1</v>
      </c>
      <c r="C181" s="9" t="n">
        <f aca="false">IF(A181&lt;=Resultados!$B$9,Resultados!$B$10,0)</f>
        <v>0</v>
      </c>
      <c r="D181" s="9" t="n">
        <f aca="false">Resultados!$E$37*$B181-Resultados!$F$37*$B181-Premissas!$B$24-Resultados!$E$37*$B181*(Premissas!$B$14/100)</f>
        <v>19027</v>
      </c>
      <c r="E181" s="9" t="n">
        <f aca="false">D181-$C181</f>
        <v>19027</v>
      </c>
      <c r="F181" s="9" t="n">
        <f aca="false">F180+E181</f>
        <v>2978175.9</v>
      </c>
      <c r="G181" s="37" t="str">
        <f aca="false">IF(AND(F180&lt;0,F181&gt;=0,A181&lt;=MAX(120,Premissas!$B$15*12)),(A181-1)+(-F180)/E181,"")</f>
        <v/>
      </c>
      <c r="H181" s="9" t="n">
        <f aca="false">Resultados!$E$38*$B181-Resultados!$F$38*$B181-Premissas!$B$24-Resultados!$E$38*$B181*(Premissas!$B$14/100)</f>
        <v>24432.4</v>
      </c>
      <c r="I181" s="9" t="n">
        <f aca="false">H181-$C181</f>
        <v>24432.4</v>
      </c>
      <c r="J181" s="9" t="n">
        <f aca="false">J180+I181</f>
        <v>3917093.87999999</v>
      </c>
      <c r="K181" s="37" t="str">
        <f aca="false">IF(AND(J180&lt;0,J181&gt;=0,A181&lt;=MAX(120,Premissas!$B$15*12)),(A181-1)+(-J180)/I181,"")</f>
        <v/>
      </c>
      <c r="L181" s="9" t="n">
        <f aca="false">Resultados!$E$39*$B181-Resultados!$F$39*$B181-Premissas!$B$24-Resultados!$E$39*$B181*(Premissas!$B$14/100)</f>
        <v>29837.8</v>
      </c>
      <c r="M181" s="9" t="n">
        <f aca="false">L181-$C181</f>
        <v>29837.8</v>
      </c>
      <c r="N181" s="9" t="n">
        <f aca="false">N180+M181</f>
        <v>4856011.85999999</v>
      </c>
      <c r="O181" s="37" t="str">
        <f aca="false">IF(AND(N180&lt;0,N181&gt;=0,A181&lt;=MAX(120,Premissas!$B$15*12)),(A181-1)+(-N180)/M181,"")</f>
        <v/>
      </c>
      <c r="P181" s="9" t="n">
        <f aca="false">Resultados!$B$19*$B181-Resultados!$B$20*$B181-Premissas!$B$24-Resultados!$B$19*$B181*(Premissas!$B$14/100)</f>
        <v>24432.4</v>
      </c>
      <c r="Q181" s="9" t="n">
        <f aca="false">P181-$C181</f>
        <v>24432.4</v>
      </c>
      <c r="R181" s="9" t="n">
        <f aca="false">R180+Q181</f>
        <v>3917093.87999999</v>
      </c>
      <c r="S181" s="37" t="str">
        <f aca="false">IF(AND(R180&lt;0,R181&gt;=0,A181&lt;=MAX(120,Premissas!$B$15*12)),(A181-1)+(-R180)/Q181,"")</f>
        <v/>
      </c>
    </row>
    <row r="182" customFormat="false" ht="15" hidden="false" customHeight="false" outlineLevel="0" collapsed="false">
      <c r="A182" s="10" t="n">
        <f aca="false">A181+1</f>
        <v>178</v>
      </c>
      <c r="B182" s="36" t="n">
        <f aca="false">IF(Premissas!$B$9&lt;=1,1,MIN(1,Premissas!$B$8/100+(1-Premissas!$B$8/100)*(A182-1)/(Premissas!$B$9-1)))</f>
        <v>1</v>
      </c>
      <c r="C182" s="9" t="n">
        <f aca="false">IF(A182&lt;=Resultados!$B$9,Resultados!$B$10,0)</f>
        <v>0</v>
      </c>
      <c r="D182" s="9" t="n">
        <f aca="false">Resultados!$E$37*$B182-Resultados!$F$37*$B182-Premissas!$B$24-Resultados!$E$37*$B182*(Premissas!$B$14/100)</f>
        <v>19027</v>
      </c>
      <c r="E182" s="9" t="n">
        <f aca="false">D182-$C182</f>
        <v>19027</v>
      </c>
      <c r="F182" s="9" t="n">
        <f aca="false">F181+E182</f>
        <v>2997202.9</v>
      </c>
      <c r="G182" s="37" t="str">
        <f aca="false">IF(AND(F181&lt;0,F182&gt;=0,A182&lt;=MAX(120,Premissas!$B$15*12)),(A182-1)+(-F181)/E182,"")</f>
        <v/>
      </c>
      <c r="H182" s="9" t="n">
        <f aca="false">Resultados!$E$38*$B182-Resultados!$F$38*$B182-Premissas!$B$24-Resultados!$E$38*$B182*(Premissas!$B$14/100)</f>
        <v>24432.4</v>
      </c>
      <c r="I182" s="9" t="n">
        <f aca="false">H182-$C182</f>
        <v>24432.4</v>
      </c>
      <c r="J182" s="9" t="n">
        <f aca="false">J181+I182</f>
        <v>3941526.27999999</v>
      </c>
      <c r="K182" s="37" t="str">
        <f aca="false">IF(AND(J181&lt;0,J182&gt;=0,A182&lt;=MAX(120,Premissas!$B$15*12)),(A182-1)+(-J181)/I182,"")</f>
        <v/>
      </c>
      <c r="L182" s="9" t="n">
        <f aca="false">Resultados!$E$39*$B182-Resultados!$F$39*$B182-Premissas!$B$24-Resultados!$E$39*$B182*(Premissas!$B$14/100)</f>
        <v>29837.8</v>
      </c>
      <c r="M182" s="9" t="n">
        <f aca="false">L182-$C182</f>
        <v>29837.8</v>
      </c>
      <c r="N182" s="9" t="n">
        <f aca="false">N181+M182</f>
        <v>4885849.65999999</v>
      </c>
      <c r="O182" s="37" t="str">
        <f aca="false">IF(AND(N181&lt;0,N182&gt;=0,A182&lt;=MAX(120,Premissas!$B$15*12)),(A182-1)+(-N181)/M182,"")</f>
        <v/>
      </c>
      <c r="P182" s="9" t="n">
        <f aca="false">Resultados!$B$19*$B182-Resultados!$B$20*$B182-Premissas!$B$24-Resultados!$B$19*$B182*(Premissas!$B$14/100)</f>
        <v>24432.4</v>
      </c>
      <c r="Q182" s="9" t="n">
        <f aca="false">P182-$C182</f>
        <v>24432.4</v>
      </c>
      <c r="R182" s="9" t="n">
        <f aca="false">R181+Q182</f>
        <v>3941526.27999999</v>
      </c>
      <c r="S182" s="37" t="str">
        <f aca="false">IF(AND(R181&lt;0,R182&gt;=0,A182&lt;=MAX(120,Premissas!$B$15*12)),(A182-1)+(-R181)/Q182,"")</f>
        <v/>
      </c>
    </row>
    <row r="183" customFormat="false" ht="15" hidden="false" customHeight="false" outlineLevel="0" collapsed="false">
      <c r="A183" s="10" t="n">
        <f aca="false">A182+1</f>
        <v>179</v>
      </c>
      <c r="B183" s="36" t="n">
        <f aca="false">IF(Premissas!$B$9&lt;=1,1,MIN(1,Premissas!$B$8/100+(1-Premissas!$B$8/100)*(A183-1)/(Premissas!$B$9-1)))</f>
        <v>1</v>
      </c>
      <c r="C183" s="9" t="n">
        <f aca="false">IF(A183&lt;=Resultados!$B$9,Resultados!$B$10,0)</f>
        <v>0</v>
      </c>
      <c r="D183" s="9" t="n">
        <f aca="false">Resultados!$E$37*$B183-Resultados!$F$37*$B183-Premissas!$B$24-Resultados!$E$37*$B183*(Premissas!$B$14/100)</f>
        <v>19027</v>
      </c>
      <c r="E183" s="9" t="n">
        <f aca="false">D183-$C183</f>
        <v>19027</v>
      </c>
      <c r="F183" s="9" t="n">
        <f aca="false">F182+E183</f>
        <v>3016229.9</v>
      </c>
      <c r="G183" s="37" t="str">
        <f aca="false">IF(AND(F182&lt;0,F183&gt;=0,A183&lt;=MAX(120,Premissas!$B$15*12)),(A183-1)+(-F182)/E183,"")</f>
        <v/>
      </c>
      <c r="H183" s="9" t="n">
        <f aca="false">Resultados!$E$38*$B183-Resultados!$F$38*$B183-Premissas!$B$24-Resultados!$E$38*$B183*(Premissas!$B$14/100)</f>
        <v>24432.4</v>
      </c>
      <c r="I183" s="9" t="n">
        <f aca="false">H183-$C183</f>
        <v>24432.4</v>
      </c>
      <c r="J183" s="9" t="n">
        <f aca="false">J182+I183</f>
        <v>3965958.67999999</v>
      </c>
      <c r="K183" s="37" t="str">
        <f aca="false">IF(AND(J182&lt;0,J183&gt;=0,A183&lt;=MAX(120,Premissas!$B$15*12)),(A183-1)+(-J182)/I183,"")</f>
        <v/>
      </c>
      <c r="L183" s="9" t="n">
        <f aca="false">Resultados!$E$39*$B183-Resultados!$F$39*$B183-Premissas!$B$24-Resultados!$E$39*$B183*(Premissas!$B$14/100)</f>
        <v>29837.8</v>
      </c>
      <c r="M183" s="9" t="n">
        <f aca="false">L183-$C183</f>
        <v>29837.8</v>
      </c>
      <c r="N183" s="9" t="n">
        <f aca="false">N182+M183</f>
        <v>4915687.45999999</v>
      </c>
      <c r="O183" s="37" t="str">
        <f aca="false">IF(AND(N182&lt;0,N183&gt;=0,A183&lt;=MAX(120,Premissas!$B$15*12)),(A183-1)+(-N182)/M183,"")</f>
        <v/>
      </c>
      <c r="P183" s="9" t="n">
        <f aca="false">Resultados!$B$19*$B183-Resultados!$B$20*$B183-Premissas!$B$24-Resultados!$B$19*$B183*(Premissas!$B$14/100)</f>
        <v>24432.4</v>
      </c>
      <c r="Q183" s="9" t="n">
        <f aca="false">P183-$C183</f>
        <v>24432.4</v>
      </c>
      <c r="R183" s="9" t="n">
        <f aca="false">R182+Q183</f>
        <v>3965958.67999999</v>
      </c>
      <c r="S183" s="37" t="str">
        <f aca="false">IF(AND(R182&lt;0,R183&gt;=0,A183&lt;=MAX(120,Premissas!$B$15*12)),(A183-1)+(-R182)/Q183,"")</f>
        <v/>
      </c>
    </row>
    <row r="184" customFormat="false" ht="15" hidden="false" customHeight="false" outlineLevel="0" collapsed="false">
      <c r="A184" s="10" t="n">
        <f aca="false">A183+1</f>
        <v>180</v>
      </c>
      <c r="B184" s="36" t="n">
        <f aca="false">IF(Premissas!$B$9&lt;=1,1,MIN(1,Premissas!$B$8/100+(1-Premissas!$B$8/100)*(A184-1)/(Premissas!$B$9-1)))</f>
        <v>1</v>
      </c>
      <c r="C184" s="9" t="n">
        <f aca="false">IF(A184&lt;=Resultados!$B$9,Resultados!$B$10,0)</f>
        <v>0</v>
      </c>
      <c r="D184" s="9" t="n">
        <f aca="false">Resultados!$E$37*$B184-Resultados!$F$37*$B184-Premissas!$B$24-Resultados!$E$37*$B184*(Premissas!$B$14/100)</f>
        <v>19027</v>
      </c>
      <c r="E184" s="9" t="n">
        <f aca="false">D184-$C184</f>
        <v>19027</v>
      </c>
      <c r="F184" s="9" t="n">
        <f aca="false">F183+E184</f>
        <v>3035256.9</v>
      </c>
      <c r="G184" s="37" t="str">
        <f aca="false">IF(AND(F183&lt;0,F184&gt;=0,A184&lt;=MAX(120,Premissas!$B$15*12)),(A184-1)+(-F183)/E184,"")</f>
        <v/>
      </c>
      <c r="H184" s="9" t="n">
        <f aca="false">Resultados!$E$38*$B184-Resultados!$F$38*$B184-Premissas!$B$24-Resultados!$E$38*$B184*(Premissas!$B$14/100)</f>
        <v>24432.4</v>
      </c>
      <c r="I184" s="9" t="n">
        <f aca="false">H184-$C184</f>
        <v>24432.4</v>
      </c>
      <c r="J184" s="9" t="n">
        <f aca="false">J183+I184</f>
        <v>3990391.07999999</v>
      </c>
      <c r="K184" s="37" t="str">
        <f aca="false">IF(AND(J183&lt;0,J184&gt;=0,A184&lt;=MAX(120,Premissas!$B$15*12)),(A184-1)+(-J183)/I184,"")</f>
        <v/>
      </c>
      <c r="L184" s="9" t="n">
        <f aca="false">Resultados!$E$39*$B184-Resultados!$F$39*$B184-Premissas!$B$24-Resultados!$E$39*$B184*(Premissas!$B$14/100)</f>
        <v>29837.8</v>
      </c>
      <c r="M184" s="9" t="n">
        <f aca="false">L184-$C184</f>
        <v>29837.8</v>
      </c>
      <c r="N184" s="9" t="n">
        <f aca="false">N183+M184</f>
        <v>4945525.25999999</v>
      </c>
      <c r="O184" s="37" t="str">
        <f aca="false">IF(AND(N183&lt;0,N184&gt;=0,A184&lt;=MAX(120,Premissas!$B$15*12)),(A184-1)+(-N183)/M184,"")</f>
        <v/>
      </c>
      <c r="P184" s="9" t="n">
        <f aca="false">Resultados!$B$19*$B184-Resultados!$B$20*$B184-Premissas!$B$24-Resultados!$B$19*$B184*(Premissas!$B$14/100)</f>
        <v>24432.4</v>
      </c>
      <c r="Q184" s="9" t="n">
        <f aca="false">P184-$C184</f>
        <v>24432.4</v>
      </c>
      <c r="R184" s="9" t="n">
        <f aca="false">R183+Q184</f>
        <v>3990391.07999999</v>
      </c>
      <c r="S184" s="37" t="str">
        <f aca="false">IF(AND(R183&lt;0,R184&gt;=0,A184&lt;=MAX(120,Premissas!$B$15*12)),(A184-1)+(-R183)/Q184,"")</f>
        <v/>
      </c>
    </row>
    <row r="185" customFormat="false" ht="15" hidden="false" customHeight="false" outlineLevel="0" collapsed="false">
      <c r="A185" s="10" t="n">
        <f aca="false">A184+1</f>
        <v>181</v>
      </c>
      <c r="B185" s="36" t="n">
        <f aca="false">IF(Premissas!$B$9&lt;=1,1,MIN(1,Premissas!$B$8/100+(1-Premissas!$B$8/100)*(A185-1)/(Premissas!$B$9-1)))</f>
        <v>1</v>
      </c>
      <c r="C185" s="9" t="n">
        <f aca="false">IF(A185&lt;=Resultados!$B$9,Resultados!$B$10,0)</f>
        <v>0</v>
      </c>
      <c r="D185" s="9" t="n">
        <f aca="false">Resultados!$E$37*$B185-Resultados!$F$37*$B185-Premissas!$B$24-Resultados!$E$37*$B185*(Premissas!$B$14/100)</f>
        <v>19027</v>
      </c>
      <c r="E185" s="9" t="n">
        <f aca="false">D185-$C185</f>
        <v>19027</v>
      </c>
      <c r="F185" s="9" t="n">
        <f aca="false">F184+E185</f>
        <v>3054283.9</v>
      </c>
      <c r="G185" s="37" t="str">
        <f aca="false">IF(AND(F184&lt;0,F185&gt;=0,A185&lt;=MAX(120,Premissas!$B$15*12)),(A185-1)+(-F184)/E185,"")</f>
        <v/>
      </c>
      <c r="H185" s="9" t="n">
        <f aca="false">Resultados!$E$38*$B185-Resultados!$F$38*$B185-Premissas!$B$24-Resultados!$E$38*$B185*(Premissas!$B$14/100)</f>
        <v>24432.4</v>
      </c>
      <c r="I185" s="9" t="n">
        <f aca="false">H185-$C185</f>
        <v>24432.4</v>
      </c>
      <c r="J185" s="9" t="n">
        <f aca="false">J184+I185</f>
        <v>4014823.47999999</v>
      </c>
      <c r="K185" s="37" t="str">
        <f aca="false">IF(AND(J184&lt;0,J185&gt;=0,A185&lt;=MAX(120,Premissas!$B$15*12)),(A185-1)+(-J184)/I185,"")</f>
        <v/>
      </c>
      <c r="L185" s="9" t="n">
        <f aca="false">Resultados!$E$39*$B185-Resultados!$F$39*$B185-Premissas!$B$24-Resultados!$E$39*$B185*(Premissas!$B$14/100)</f>
        <v>29837.8</v>
      </c>
      <c r="M185" s="9" t="n">
        <f aca="false">L185-$C185</f>
        <v>29837.8</v>
      </c>
      <c r="N185" s="9" t="n">
        <f aca="false">N184+M185</f>
        <v>4975363.05999999</v>
      </c>
      <c r="O185" s="37" t="str">
        <f aca="false">IF(AND(N184&lt;0,N185&gt;=0,A185&lt;=MAX(120,Premissas!$B$15*12)),(A185-1)+(-N184)/M185,"")</f>
        <v/>
      </c>
      <c r="P185" s="9" t="n">
        <f aca="false">Resultados!$B$19*$B185-Resultados!$B$20*$B185-Premissas!$B$24-Resultados!$B$19*$B185*(Premissas!$B$14/100)</f>
        <v>24432.4</v>
      </c>
      <c r="Q185" s="9" t="n">
        <f aca="false">P185-$C185</f>
        <v>24432.4</v>
      </c>
      <c r="R185" s="9" t="n">
        <f aca="false">R184+Q185</f>
        <v>4014823.47999999</v>
      </c>
      <c r="S185" s="37" t="str">
        <f aca="false">IF(AND(R184&lt;0,R185&gt;=0,A185&lt;=MAX(120,Premissas!$B$15*12)),(A185-1)+(-R184)/Q185,"")</f>
        <v/>
      </c>
    </row>
    <row r="186" customFormat="false" ht="15" hidden="false" customHeight="false" outlineLevel="0" collapsed="false">
      <c r="A186" s="10" t="n">
        <f aca="false">A185+1</f>
        <v>182</v>
      </c>
      <c r="B186" s="36" t="n">
        <f aca="false">IF(Premissas!$B$9&lt;=1,1,MIN(1,Premissas!$B$8/100+(1-Premissas!$B$8/100)*(A186-1)/(Premissas!$B$9-1)))</f>
        <v>1</v>
      </c>
      <c r="C186" s="9" t="n">
        <f aca="false">IF(A186&lt;=Resultados!$B$9,Resultados!$B$10,0)</f>
        <v>0</v>
      </c>
      <c r="D186" s="9" t="n">
        <f aca="false">Resultados!$E$37*$B186-Resultados!$F$37*$B186-Premissas!$B$24-Resultados!$E$37*$B186*(Premissas!$B$14/100)</f>
        <v>19027</v>
      </c>
      <c r="E186" s="9" t="n">
        <f aca="false">D186-$C186</f>
        <v>19027</v>
      </c>
      <c r="F186" s="9" t="n">
        <f aca="false">F185+E186</f>
        <v>3073310.9</v>
      </c>
      <c r="G186" s="37" t="str">
        <f aca="false">IF(AND(F185&lt;0,F186&gt;=0,A186&lt;=MAX(120,Premissas!$B$15*12)),(A186-1)+(-F185)/E186,"")</f>
        <v/>
      </c>
      <c r="H186" s="9" t="n">
        <f aca="false">Resultados!$E$38*$B186-Resultados!$F$38*$B186-Premissas!$B$24-Resultados!$E$38*$B186*(Premissas!$B$14/100)</f>
        <v>24432.4</v>
      </c>
      <c r="I186" s="9" t="n">
        <f aca="false">H186-$C186</f>
        <v>24432.4</v>
      </c>
      <c r="J186" s="9" t="n">
        <f aca="false">J185+I186</f>
        <v>4039255.87999999</v>
      </c>
      <c r="K186" s="37" t="str">
        <f aca="false">IF(AND(J185&lt;0,J186&gt;=0,A186&lt;=MAX(120,Premissas!$B$15*12)),(A186-1)+(-J185)/I186,"")</f>
        <v/>
      </c>
      <c r="L186" s="9" t="n">
        <f aca="false">Resultados!$E$39*$B186-Resultados!$F$39*$B186-Premissas!$B$24-Resultados!$E$39*$B186*(Premissas!$B$14/100)</f>
        <v>29837.8</v>
      </c>
      <c r="M186" s="9" t="n">
        <f aca="false">L186-$C186</f>
        <v>29837.8</v>
      </c>
      <c r="N186" s="9" t="n">
        <f aca="false">N185+M186</f>
        <v>5005200.85999998</v>
      </c>
      <c r="O186" s="37" t="str">
        <f aca="false">IF(AND(N185&lt;0,N186&gt;=0,A186&lt;=MAX(120,Premissas!$B$15*12)),(A186-1)+(-N185)/M186,"")</f>
        <v/>
      </c>
      <c r="P186" s="9" t="n">
        <f aca="false">Resultados!$B$19*$B186-Resultados!$B$20*$B186-Premissas!$B$24-Resultados!$B$19*$B186*(Premissas!$B$14/100)</f>
        <v>24432.4</v>
      </c>
      <c r="Q186" s="9" t="n">
        <f aca="false">P186-$C186</f>
        <v>24432.4</v>
      </c>
      <c r="R186" s="9" t="n">
        <f aca="false">R185+Q186</f>
        <v>4039255.87999999</v>
      </c>
      <c r="S186" s="37" t="str">
        <f aca="false">IF(AND(R185&lt;0,R186&gt;=0,A186&lt;=MAX(120,Premissas!$B$15*12)),(A186-1)+(-R185)/Q186,"")</f>
        <v/>
      </c>
    </row>
    <row r="187" customFormat="false" ht="15" hidden="false" customHeight="false" outlineLevel="0" collapsed="false">
      <c r="A187" s="10" t="n">
        <f aca="false">A186+1</f>
        <v>183</v>
      </c>
      <c r="B187" s="36" t="n">
        <f aca="false">IF(Premissas!$B$9&lt;=1,1,MIN(1,Premissas!$B$8/100+(1-Premissas!$B$8/100)*(A187-1)/(Premissas!$B$9-1)))</f>
        <v>1</v>
      </c>
      <c r="C187" s="9" t="n">
        <f aca="false">IF(A187&lt;=Resultados!$B$9,Resultados!$B$10,0)</f>
        <v>0</v>
      </c>
      <c r="D187" s="9" t="n">
        <f aca="false">Resultados!$E$37*$B187-Resultados!$F$37*$B187-Premissas!$B$24-Resultados!$E$37*$B187*(Premissas!$B$14/100)</f>
        <v>19027</v>
      </c>
      <c r="E187" s="9" t="n">
        <f aca="false">D187-$C187</f>
        <v>19027</v>
      </c>
      <c r="F187" s="9" t="n">
        <f aca="false">F186+E187</f>
        <v>3092337.9</v>
      </c>
      <c r="G187" s="37" t="str">
        <f aca="false">IF(AND(F186&lt;0,F187&gt;=0,A187&lt;=MAX(120,Premissas!$B$15*12)),(A187-1)+(-F186)/E187,"")</f>
        <v/>
      </c>
      <c r="H187" s="9" t="n">
        <f aca="false">Resultados!$E$38*$B187-Resultados!$F$38*$B187-Premissas!$B$24-Resultados!$E$38*$B187*(Premissas!$B$14/100)</f>
        <v>24432.4</v>
      </c>
      <c r="I187" s="9" t="n">
        <f aca="false">H187-$C187</f>
        <v>24432.4</v>
      </c>
      <c r="J187" s="9" t="n">
        <f aca="false">J186+I187</f>
        <v>4063688.27999999</v>
      </c>
      <c r="K187" s="37" t="str">
        <f aca="false">IF(AND(J186&lt;0,J187&gt;=0,A187&lt;=MAX(120,Premissas!$B$15*12)),(A187-1)+(-J186)/I187,"")</f>
        <v/>
      </c>
      <c r="L187" s="9" t="n">
        <f aca="false">Resultados!$E$39*$B187-Resultados!$F$39*$B187-Premissas!$B$24-Resultados!$E$39*$B187*(Premissas!$B$14/100)</f>
        <v>29837.8</v>
      </c>
      <c r="M187" s="9" t="n">
        <f aca="false">L187-$C187</f>
        <v>29837.8</v>
      </c>
      <c r="N187" s="9" t="n">
        <f aca="false">N186+M187</f>
        <v>5035038.65999998</v>
      </c>
      <c r="O187" s="37" t="str">
        <f aca="false">IF(AND(N186&lt;0,N187&gt;=0,A187&lt;=MAX(120,Premissas!$B$15*12)),(A187-1)+(-N186)/M187,"")</f>
        <v/>
      </c>
      <c r="P187" s="9" t="n">
        <f aca="false">Resultados!$B$19*$B187-Resultados!$B$20*$B187-Premissas!$B$24-Resultados!$B$19*$B187*(Premissas!$B$14/100)</f>
        <v>24432.4</v>
      </c>
      <c r="Q187" s="9" t="n">
        <f aca="false">P187-$C187</f>
        <v>24432.4</v>
      </c>
      <c r="R187" s="9" t="n">
        <f aca="false">R186+Q187</f>
        <v>4063688.27999999</v>
      </c>
      <c r="S187" s="37" t="str">
        <f aca="false">IF(AND(R186&lt;0,R187&gt;=0,A187&lt;=MAX(120,Premissas!$B$15*12)),(A187-1)+(-R186)/Q187,"")</f>
        <v/>
      </c>
    </row>
    <row r="188" customFormat="false" ht="15" hidden="false" customHeight="false" outlineLevel="0" collapsed="false">
      <c r="A188" s="10" t="n">
        <f aca="false">A187+1</f>
        <v>184</v>
      </c>
      <c r="B188" s="36" t="n">
        <f aca="false">IF(Premissas!$B$9&lt;=1,1,MIN(1,Premissas!$B$8/100+(1-Premissas!$B$8/100)*(A188-1)/(Premissas!$B$9-1)))</f>
        <v>1</v>
      </c>
      <c r="C188" s="9" t="n">
        <f aca="false">IF(A188&lt;=Resultados!$B$9,Resultados!$B$10,0)</f>
        <v>0</v>
      </c>
      <c r="D188" s="9" t="n">
        <f aca="false">Resultados!$E$37*$B188-Resultados!$F$37*$B188-Premissas!$B$24-Resultados!$E$37*$B188*(Premissas!$B$14/100)</f>
        <v>19027</v>
      </c>
      <c r="E188" s="9" t="n">
        <f aca="false">D188-$C188</f>
        <v>19027</v>
      </c>
      <c r="F188" s="9" t="n">
        <f aca="false">F187+E188</f>
        <v>3111364.9</v>
      </c>
      <c r="G188" s="37" t="str">
        <f aca="false">IF(AND(F187&lt;0,F188&gt;=0,A188&lt;=MAX(120,Premissas!$B$15*12)),(A188-1)+(-F187)/E188,"")</f>
        <v/>
      </c>
      <c r="H188" s="9" t="n">
        <f aca="false">Resultados!$E$38*$B188-Resultados!$F$38*$B188-Premissas!$B$24-Resultados!$E$38*$B188*(Premissas!$B$14/100)</f>
        <v>24432.4</v>
      </c>
      <c r="I188" s="9" t="n">
        <f aca="false">H188-$C188</f>
        <v>24432.4</v>
      </c>
      <c r="J188" s="9" t="n">
        <f aca="false">J187+I188</f>
        <v>4088120.67999999</v>
      </c>
      <c r="K188" s="37" t="str">
        <f aca="false">IF(AND(J187&lt;0,J188&gt;=0,A188&lt;=MAX(120,Premissas!$B$15*12)),(A188-1)+(-J187)/I188,"")</f>
        <v/>
      </c>
      <c r="L188" s="9" t="n">
        <f aca="false">Resultados!$E$39*$B188-Resultados!$F$39*$B188-Premissas!$B$24-Resultados!$E$39*$B188*(Premissas!$B$14/100)</f>
        <v>29837.8</v>
      </c>
      <c r="M188" s="9" t="n">
        <f aca="false">L188-$C188</f>
        <v>29837.8</v>
      </c>
      <c r="N188" s="9" t="n">
        <f aca="false">N187+M188</f>
        <v>5064876.45999998</v>
      </c>
      <c r="O188" s="37" t="str">
        <f aca="false">IF(AND(N187&lt;0,N188&gt;=0,A188&lt;=MAX(120,Premissas!$B$15*12)),(A188-1)+(-N187)/M188,"")</f>
        <v/>
      </c>
      <c r="P188" s="9" t="n">
        <f aca="false">Resultados!$B$19*$B188-Resultados!$B$20*$B188-Premissas!$B$24-Resultados!$B$19*$B188*(Premissas!$B$14/100)</f>
        <v>24432.4</v>
      </c>
      <c r="Q188" s="9" t="n">
        <f aca="false">P188-$C188</f>
        <v>24432.4</v>
      </c>
      <c r="R188" s="9" t="n">
        <f aca="false">R187+Q188</f>
        <v>4088120.67999999</v>
      </c>
      <c r="S188" s="37" t="str">
        <f aca="false">IF(AND(R187&lt;0,R188&gt;=0,A188&lt;=MAX(120,Premissas!$B$15*12)),(A188-1)+(-R187)/Q188,"")</f>
        <v/>
      </c>
    </row>
    <row r="189" customFormat="false" ht="15" hidden="false" customHeight="false" outlineLevel="0" collapsed="false">
      <c r="A189" s="10" t="n">
        <f aca="false">A188+1</f>
        <v>185</v>
      </c>
      <c r="B189" s="36" t="n">
        <f aca="false">IF(Premissas!$B$9&lt;=1,1,MIN(1,Premissas!$B$8/100+(1-Premissas!$B$8/100)*(A189-1)/(Premissas!$B$9-1)))</f>
        <v>1</v>
      </c>
      <c r="C189" s="9" t="n">
        <f aca="false">IF(A189&lt;=Resultados!$B$9,Resultados!$B$10,0)</f>
        <v>0</v>
      </c>
      <c r="D189" s="9" t="n">
        <f aca="false">Resultados!$E$37*$B189-Resultados!$F$37*$B189-Premissas!$B$24-Resultados!$E$37*$B189*(Premissas!$B$14/100)</f>
        <v>19027</v>
      </c>
      <c r="E189" s="9" t="n">
        <f aca="false">D189-$C189</f>
        <v>19027</v>
      </c>
      <c r="F189" s="9" t="n">
        <f aca="false">F188+E189</f>
        <v>3130391.9</v>
      </c>
      <c r="G189" s="37" t="str">
        <f aca="false">IF(AND(F188&lt;0,F189&gt;=0,A189&lt;=MAX(120,Premissas!$B$15*12)),(A189-1)+(-F188)/E189,"")</f>
        <v/>
      </c>
      <c r="H189" s="9" t="n">
        <f aca="false">Resultados!$E$38*$B189-Resultados!$F$38*$B189-Premissas!$B$24-Resultados!$E$38*$B189*(Premissas!$B$14/100)</f>
        <v>24432.4</v>
      </c>
      <c r="I189" s="9" t="n">
        <f aca="false">H189-$C189</f>
        <v>24432.4</v>
      </c>
      <c r="J189" s="9" t="n">
        <f aca="false">J188+I189</f>
        <v>4112553.07999999</v>
      </c>
      <c r="K189" s="37" t="str">
        <f aca="false">IF(AND(J188&lt;0,J189&gt;=0,A189&lt;=MAX(120,Premissas!$B$15*12)),(A189-1)+(-J188)/I189,"")</f>
        <v/>
      </c>
      <c r="L189" s="9" t="n">
        <f aca="false">Resultados!$E$39*$B189-Resultados!$F$39*$B189-Premissas!$B$24-Resultados!$E$39*$B189*(Premissas!$B$14/100)</f>
        <v>29837.8</v>
      </c>
      <c r="M189" s="9" t="n">
        <f aca="false">L189-$C189</f>
        <v>29837.8</v>
      </c>
      <c r="N189" s="9" t="n">
        <f aca="false">N188+M189</f>
        <v>5094714.25999998</v>
      </c>
      <c r="O189" s="37" t="str">
        <f aca="false">IF(AND(N188&lt;0,N189&gt;=0,A189&lt;=MAX(120,Premissas!$B$15*12)),(A189-1)+(-N188)/M189,"")</f>
        <v/>
      </c>
      <c r="P189" s="9" t="n">
        <f aca="false">Resultados!$B$19*$B189-Resultados!$B$20*$B189-Premissas!$B$24-Resultados!$B$19*$B189*(Premissas!$B$14/100)</f>
        <v>24432.4</v>
      </c>
      <c r="Q189" s="9" t="n">
        <f aca="false">P189-$C189</f>
        <v>24432.4</v>
      </c>
      <c r="R189" s="9" t="n">
        <f aca="false">R188+Q189</f>
        <v>4112553.07999999</v>
      </c>
      <c r="S189" s="37" t="str">
        <f aca="false">IF(AND(R188&lt;0,R189&gt;=0,A189&lt;=MAX(120,Premissas!$B$15*12)),(A189-1)+(-R188)/Q189,"")</f>
        <v/>
      </c>
    </row>
    <row r="190" customFormat="false" ht="15" hidden="false" customHeight="false" outlineLevel="0" collapsed="false">
      <c r="A190" s="10" t="n">
        <f aca="false">A189+1</f>
        <v>186</v>
      </c>
      <c r="B190" s="36" t="n">
        <f aca="false">IF(Premissas!$B$9&lt;=1,1,MIN(1,Premissas!$B$8/100+(1-Premissas!$B$8/100)*(A190-1)/(Premissas!$B$9-1)))</f>
        <v>1</v>
      </c>
      <c r="C190" s="9" t="n">
        <f aca="false">IF(A190&lt;=Resultados!$B$9,Resultados!$B$10,0)</f>
        <v>0</v>
      </c>
      <c r="D190" s="9" t="n">
        <f aca="false">Resultados!$E$37*$B190-Resultados!$F$37*$B190-Premissas!$B$24-Resultados!$E$37*$B190*(Premissas!$B$14/100)</f>
        <v>19027</v>
      </c>
      <c r="E190" s="9" t="n">
        <f aca="false">D190-$C190</f>
        <v>19027</v>
      </c>
      <c r="F190" s="9" t="n">
        <f aca="false">F189+E190</f>
        <v>3149418.9</v>
      </c>
      <c r="G190" s="37" t="str">
        <f aca="false">IF(AND(F189&lt;0,F190&gt;=0,A190&lt;=MAX(120,Premissas!$B$15*12)),(A190-1)+(-F189)/E190,"")</f>
        <v/>
      </c>
      <c r="H190" s="9" t="n">
        <f aca="false">Resultados!$E$38*$B190-Resultados!$F$38*$B190-Premissas!$B$24-Resultados!$E$38*$B190*(Premissas!$B$14/100)</f>
        <v>24432.4</v>
      </c>
      <c r="I190" s="9" t="n">
        <f aca="false">H190-$C190</f>
        <v>24432.4</v>
      </c>
      <c r="J190" s="9" t="n">
        <f aca="false">J189+I190</f>
        <v>4136985.47999999</v>
      </c>
      <c r="K190" s="37" t="str">
        <f aca="false">IF(AND(J189&lt;0,J190&gt;=0,A190&lt;=MAX(120,Premissas!$B$15*12)),(A190-1)+(-J189)/I190,"")</f>
        <v/>
      </c>
      <c r="L190" s="9" t="n">
        <f aca="false">Resultados!$E$39*$B190-Resultados!$F$39*$B190-Premissas!$B$24-Resultados!$E$39*$B190*(Premissas!$B$14/100)</f>
        <v>29837.8</v>
      </c>
      <c r="M190" s="9" t="n">
        <f aca="false">L190-$C190</f>
        <v>29837.8</v>
      </c>
      <c r="N190" s="9" t="n">
        <f aca="false">N189+M190</f>
        <v>5124552.05999998</v>
      </c>
      <c r="O190" s="37" t="str">
        <f aca="false">IF(AND(N189&lt;0,N190&gt;=0,A190&lt;=MAX(120,Premissas!$B$15*12)),(A190-1)+(-N189)/M190,"")</f>
        <v/>
      </c>
      <c r="P190" s="9" t="n">
        <f aca="false">Resultados!$B$19*$B190-Resultados!$B$20*$B190-Premissas!$B$24-Resultados!$B$19*$B190*(Premissas!$B$14/100)</f>
        <v>24432.4</v>
      </c>
      <c r="Q190" s="9" t="n">
        <f aca="false">P190-$C190</f>
        <v>24432.4</v>
      </c>
      <c r="R190" s="9" t="n">
        <f aca="false">R189+Q190</f>
        <v>4136985.47999999</v>
      </c>
      <c r="S190" s="37" t="str">
        <f aca="false">IF(AND(R189&lt;0,R190&gt;=0,A190&lt;=MAX(120,Premissas!$B$15*12)),(A190-1)+(-R189)/Q190,"")</f>
        <v/>
      </c>
    </row>
    <row r="191" customFormat="false" ht="15" hidden="false" customHeight="false" outlineLevel="0" collapsed="false">
      <c r="A191" s="10" t="n">
        <f aca="false">A190+1</f>
        <v>187</v>
      </c>
      <c r="B191" s="36" t="n">
        <f aca="false">IF(Premissas!$B$9&lt;=1,1,MIN(1,Premissas!$B$8/100+(1-Premissas!$B$8/100)*(A191-1)/(Premissas!$B$9-1)))</f>
        <v>1</v>
      </c>
      <c r="C191" s="9" t="n">
        <f aca="false">IF(A191&lt;=Resultados!$B$9,Resultados!$B$10,0)</f>
        <v>0</v>
      </c>
      <c r="D191" s="9" t="n">
        <f aca="false">Resultados!$E$37*$B191-Resultados!$F$37*$B191-Premissas!$B$24-Resultados!$E$37*$B191*(Premissas!$B$14/100)</f>
        <v>19027</v>
      </c>
      <c r="E191" s="9" t="n">
        <f aca="false">D191-$C191</f>
        <v>19027</v>
      </c>
      <c r="F191" s="9" t="n">
        <f aca="false">F190+E191</f>
        <v>3168445.9</v>
      </c>
      <c r="G191" s="37" t="str">
        <f aca="false">IF(AND(F190&lt;0,F191&gt;=0,A191&lt;=MAX(120,Premissas!$B$15*12)),(A191-1)+(-F190)/E191,"")</f>
        <v/>
      </c>
      <c r="H191" s="9" t="n">
        <f aca="false">Resultados!$E$38*$B191-Resultados!$F$38*$B191-Premissas!$B$24-Resultados!$E$38*$B191*(Premissas!$B$14/100)</f>
        <v>24432.4</v>
      </c>
      <c r="I191" s="9" t="n">
        <f aca="false">H191-$C191</f>
        <v>24432.4</v>
      </c>
      <c r="J191" s="9" t="n">
        <f aca="false">J190+I191</f>
        <v>4161417.87999999</v>
      </c>
      <c r="K191" s="37" t="str">
        <f aca="false">IF(AND(J190&lt;0,J191&gt;=0,A191&lt;=MAX(120,Premissas!$B$15*12)),(A191-1)+(-J190)/I191,"")</f>
        <v/>
      </c>
      <c r="L191" s="9" t="n">
        <f aca="false">Resultados!$E$39*$B191-Resultados!$F$39*$B191-Premissas!$B$24-Resultados!$E$39*$B191*(Premissas!$B$14/100)</f>
        <v>29837.8</v>
      </c>
      <c r="M191" s="9" t="n">
        <f aca="false">L191-$C191</f>
        <v>29837.8</v>
      </c>
      <c r="N191" s="9" t="n">
        <f aca="false">N190+M191</f>
        <v>5154389.85999998</v>
      </c>
      <c r="O191" s="37" t="str">
        <f aca="false">IF(AND(N190&lt;0,N191&gt;=0,A191&lt;=MAX(120,Premissas!$B$15*12)),(A191-1)+(-N190)/M191,"")</f>
        <v/>
      </c>
      <c r="P191" s="9" t="n">
        <f aca="false">Resultados!$B$19*$B191-Resultados!$B$20*$B191-Premissas!$B$24-Resultados!$B$19*$B191*(Premissas!$B$14/100)</f>
        <v>24432.4</v>
      </c>
      <c r="Q191" s="9" t="n">
        <f aca="false">P191-$C191</f>
        <v>24432.4</v>
      </c>
      <c r="R191" s="9" t="n">
        <f aca="false">R190+Q191</f>
        <v>4161417.87999999</v>
      </c>
      <c r="S191" s="37" t="str">
        <f aca="false">IF(AND(R190&lt;0,R191&gt;=0,A191&lt;=MAX(120,Premissas!$B$15*12)),(A191-1)+(-R190)/Q191,"")</f>
        <v/>
      </c>
    </row>
    <row r="192" customFormat="false" ht="15" hidden="false" customHeight="false" outlineLevel="0" collapsed="false">
      <c r="A192" s="10" t="n">
        <f aca="false">A191+1</f>
        <v>188</v>
      </c>
      <c r="B192" s="36" t="n">
        <f aca="false">IF(Premissas!$B$9&lt;=1,1,MIN(1,Premissas!$B$8/100+(1-Premissas!$B$8/100)*(A192-1)/(Premissas!$B$9-1)))</f>
        <v>1</v>
      </c>
      <c r="C192" s="9" t="n">
        <f aca="false">IF(A192&lt;=Resultados!$B$9,Resultados!$B$10,0)</f>
        <v>0</v>
      </c>
      <c r="D192" s="9" t="n">
        <f aca="false">Resultados!$E$37*$B192-Resultados!$F$37*$B192-Premissas!$B$24-Resultados!$E$37*$B192*(Premissas!$B$14/100)</f>
        <v>19027</v>
      </c>
      <c r="E192" s="9" t="n">
        <f aca="false">D192-$C192</f>
        <v>19027</v>
      </c>
      <c r="F192" s="9" t="n">
        <f aca="false">F191+E192</f>
        <v>3187472.9</v>
      </c>
      <c r="G192" s="37" t="str">
        <f aca="false">IF(AND(F191&lt;0,F192&gt;=0,A192&lt;=MAX(120,Premissas!$B$15*12)),(A192-1)+(-F191)/E192,"")</f>
        <v/>
      </c>
      <c r="H192" s="9" t="n">
        <f aca="false">Resultados!$E$38*$B192-Resultados!$F$38*$B192-Premissas!$B$24-Resultados!$E$38*$B192*(Premissas!$B$14/100)</f>
        <v>24432.4</v>
      </c>
      <c r="I192" s="9" t="n">
        <f aca="false">H192-$C192</f>
        <v>24432.4</v>
      </c>
      <c r="J192" s="9" t="n">
        <f aca="false">J191+I192</f>
        <v>4185850.27999999</v>
      </c>
      <c r="K192" s="37" t="str">
        <f aca="false">IF(AND(J191&lt;0,J192&gt;=0,A192&lt;=MAX(120,Premissas!$B$15*12)),(A192-1)+(-J191)/I192,"")</f>
        <v/>
      </c>
      <c r="L192" s="9" t="n">
        <f aca="false">Resultados!$E$39*$B192-Resultados!$F$39*$B192-Premissas!$B$24-Resultados!$E$39*$B192*(Premissas!$B$14/100)</f>
        <v>29837.8</v>
      </c>
      <c r="M192" s="9" t="n">
        <f aca="false">L192-$C192</f>
        <v>29837.8</v>
      </c>
      <c r="N192" s="9" t="n">
        <f aca="false">N191+M192</f>
        <v>5184227.65999998</v>
      </c>
      <c r="O192" s="37" t="str">
        <f aca="false">IF(AND(N191&lt;0,N192&gt;=0,A192&lt;=MAX(120,Premissas!$B$15*12)),(A192-1)+(-N191)/M192,"")</f>
        <v/>
      </c>
      <c r="P192" s="9" t="n">
        <f aca="false">Resultados!$B$19*$B192-Resultados!$B$20*$B192-Premissas!$B$24-Resultados!$B$19*$B192*(Premissas!$B$14/100)</f>
        <v>24432.4</v>
      </c>
      <c r="Q192" s="9" t="n">
        <f aca="false">P192-$C192</f>
        <v>24432.4</v>
      </c>
      <c r="R192" s="9" t="n">
        <f aca="false">R191+Q192</f>
        <v>4185850.27999999</v>
      </c>
      <c r="S192" s="37" t="str">
        <f aca="false">IF(AND(R191&lt;0,R192&gt;=0,A192&lt;=MAX(120,Premissas!$B$15*12)),(A192-1)+(-R191)/Q192,"")</f>
        <v/>
      </c>
    </row>
    <row r="193" customFormat="false" ht="15" hidden="false" customHeight="false" outlineLevel="0" collapsed="false">
      <c r="A193" s="10" t="n">
        <f aca="false">A192+1</f>
        <v>189</v>
      </c>
      <c r="B193" s="36" t="n">
        <f aca="false">IF(Premissas!$B$9&lt;=1,1,MIN(1,Premissas!$B$8/100+(1-Premissas!$B$8/100)*(A193-1)/(Premissas!$B$9-1)))</f>
        <v>1</v>
      </c>
      <c r="C193" s="9" t="n">
        <f aca="false">IF(A193&lt;=Resultados!$B$9,Resultados!$B$10,0)</f>
        <v>0</v>
      </c>
      <c r="D193" s="9" t="n">
        <f aca="false">Resultados!$E$37*$B193-Resultados!$F$37*$B193-Premissas!$B$24-Resultados!$E$37*$B193*(Premissas!$B$14/100)</f>
        <v>19027</v>
      </c>
      <c r="E193" s="9" t="n">
        <f aca="false">D193-$C193</f>
        <v>19027</v>
      </c>
      <c r="F193" s="9" t="n">
        <f aca="false">F192+E193</f>
        <v>3206499.9</v>
      </c>
      <c r="G193" s="37" t="str">
        <f aca="false">IF(AND(F192&lt;0,F193&gt;=0,A193&lt;=MAX(120,Premissas!$B$15*12)),(A193-1)+(-F192)/E193,"")</f>
        <v/>
      </c>
      <c r="H193" s="9" t="n">
        <f aca="false">Resultados!$E$38*$B193-Resultados!$F$38*$B193-Premissas!$B$24-Resultados!$E$38*$B193*(Premissas!$B$14/100)</f>
        <v>24432.4</v>
      </c>
      <c r="I193" s="9" t="n">
        <f aca="false">H193-$C193</f>
        <v>24432.4</v>
      </c>
      <c r="J193" s="9" t="n">
        <f aca="false">J192+I193</f>
        <v>4210282.67999999</v>
      </c>
      <c r="K193" s="37" t="str">
        <f aca="false">IF(AND(J192&lt;0,J193&gt;=0,A193&lt;=MAX(120,Premissas!$B$15*12)),(A193-1)+(-J192)/I193,"")</f>
        <v/>
      </c>
      <c r="L193" s="9" t="n">
        <f aca="false">Resultados!$E$39*$B193-Resultados!$F$39*$B193-Premissas!$B$24-Resultados!$E$39*$B193*(Premissas!$B$14/100)</f>
        <v>29837.8</v>
      </c>
      <c r="M193" s="9" t="n">
        <f aca="false">L193-$C193</f>
        <v>29837.8</v>
      </c>
      <c r="N193" s="9" t="n">
        <f aca="false">N192+M193</f>
        <v>5214065.45999998</v>
      </c>
      <c r="O193" s="37" t="str">
        <f aca="false">IF(AND(N192&lt;0,N193&gt;=0,A193&lt;=MAX(120,Premissas!$B$15*12)),(A193-1)+(-N192)/M193,"")</f>
        <v/>
      </c>
      <c r="P193" s="9" t="n">
        <f aca="false">Resultados!$B$19*$B193-Resultados!$B$20*$B193-Premissas!$B$24-Resultados!$B$19*$B193*(Premissas!$B$14/100)</f>
        <v>24432.4</v>
      </c>
      <c r="Q193" s="9" t="n">
        <f aca="false">P193-$C193</f>
        <v>24432.4</v>
      </c>
      <c r="R193" s="9" t="n">
        <f aca="false">R192+Q193</f>
        <v>4210282.67999999</v>
      </c>
      <c r="S193" s="37" t="str">
        <f aca="false">IF(AND(R192&lt;0,R193&gt;=0,A193&lt;=MAX(120,Premissas!$B$15*12)),(A193-1)+(-R192)/Q193,"")</f>
        <v/>
      </c>
    </row>
    <row r="194" customFormat="false" ht="15" hidden="false" customHeight="false" outlineLevel="0" collapsed="false">
      <c r="A194" s="10" t="n">
        <f aca="false">A193+1</f>
        <v>190</v>
      </c>
      <c r="B194" s="36" t="n">
        <f aca="false">IF(Premissas!$B$9&lt;=1,1,MIN(1,Premissas!$B$8/100+(1-Premissas!$B$8/100)*(A194-1)/(Premissas!$B$9-1)))</f>
        <v>1</v>
      </c>
      <c r="C194" s="9" t="n">
        <f aca="false">IF(A194&lt;=Resultados!$B$9,Resultados!$B$10,0)</f>
        <v>0</v>
      </c>
      <c r="D194" s="9" t="n">
        <f aca="false">Resultados!$E$37*$B194-Resultados!$F$37*$B194-Premissas!$B$24-Resultados!$E$37*$B194*(Premissas!$B$14/100)</f>
        <v>19027</v>
      </c>
      <c r="E194" s="9" t="n">
        <f aca="false">D194-$C194</f>
        <v>19027</v>
      </c>
      <c r="F194" s="9" t="n">
        <f aca="false">F193+E194</f>
        <v>3225526.9</v>
      </c>
      <c r="G194" s="37" t="str">
        <f aca="false">IF(AND(F193&lt;0,F194&gt;=0,A194&lt;=MAX(120,Premissas!$B$15*12)),(A194-1)+(-F193)/E194,"")</f>
        <v/>
      </c>
      <c r="H194" s="9" t="n">
        <f aca="false">Resultados!$E$38*$B194-Resultados!$F$38*$B194-Premissas!$B$24-Resultados!$E$38*$B194*(Premissas!$B$14/100)</f>
        <v>24432.4</v>
      </c>
      <c r="I194" s="9" t="n">
        <f aca="false">H194-$C194</f>
        <v>24432.4</v>
      </c>
      <c r="J194" s="9" t="n">
        <f aca="false">J193+I194</f>
        <v>4234715.07999999</v>
      </c>
      <c r="K194" s="37" t="str">
        <f aca="false">IF(AND(J193&lt;0,J194&gt;=0,A194&lt;=MAX(120,Premissas!$B$15*12)),(A194-1)+(-J193)/I194,"")</f>
        <v/>
      </c>
      <c r="L194" s="9" t="n">
        <f aca="false">Resultados!$E$39*$B194-Resultados!$F$39*$B194-Premissas!$B$24-Resultados!$E$39*$B194*(Premissas!$B$14/100)</f>
        <v>29837.8</v>
      </c>
      <c r="M194" s="9" t="n">
        <f aca="false">L194-$C194</f>
        <v>29837.8</v>
      </c>
      <c r="N194" s="9" t="n">
        <f aca="false">N193+M194</f>
        <v>5243903.25999998</v>
      </c>
      <c r="O194" s="37" t="str">
        <f aca="false">IF(AND(N193&lt;0,N194&gt;=0,A194&lt;=MAX(120,Premissas!$B$15*12)),(A194-1)+(-N193)/M194,"")</f>
        <v/>
      </c>
      <c r="P194" s="9" t="n">
        <f aca="false">Resultados!$B$19*$B194-Resultados!$B$20*$B194-Premissas!$B$24-Resultados!$B$19*$B194*(Premissas!$B$14/100)</f>
        <v>24432.4</v>
      </c>
      <c r="Q194" s="9" t="n">
        <f aca="false">P194-$C194</f>
        <v>24432.4</v>
      </c>
      <c r="R194" s="9" t="n">
        <f aca="false">R193+Q194</f>
        <v>4234715.07999999</v>
      </c>
      <c r="S194" s="37" t="str">
        <f aca="false">IF(AND(R193&lt;0,R194&gt;=0,A194&lt;=MAX(120,Premissas!$B$15*12)),(A194-1)+(-R193)/Q194,"")</f>
        <v/>
      </c>
    </row>
    <row r="195" customFormat="false" ht="15" hidden="false" customHeight="false" outlineLevel="0" collapsed="false">
      <c r="A195" s="10" t="n">
        <f aca="false">A194+1</f>
        <v>191</v>
      </c>
      <c r="B195" s="36" t="n">
        <f aca="false">IF(Premissas!$B$9&lt;=1,1,MIN(1,Premissas!$B$8/100+(1-Premissas!$B$8/100)*(A195-1)/(Premissas!$B$9-1)))</f>
        <v>1</v>
      </c>
      <c r="C195" s="9" t="n">
        <f aca="false">IF(A195&lt;=Resultados!$B$9,Resultados!$B$10,0)</f>
        <v>0</v>
      </c>
      <c r="D195" s="9" t="n">
        <f aca="false">Resultados!$E$37*$B195-Resultados!$F$37*$B195-Premissas!$B$24-Resultados!$E$37*$B195*(Premissas!$B$14/100)</f>
        <v>19027</v>
      </c>
      <c r="E195" s="9" t="n">
        <f aca="false">D195-$C195</f>
        <v>19027</v>
      </c>
      <c r="F195" s="9" t="n">
        <f aca="false">F194+E195</f>
        <v>3244553.9</v>
      </c>
      <c r="G195" s="37" t="str">
        <f aca="false">IF(AND(F194&lt;0,F195&gt;=0,A195&lt;=MAX(120,Premissas!$B$15*12)),(A195-1)+(-F194)/E195,"")</f>
        <v/>
      </c>
      <c r="H195" s="9" t="n">
        <f aca="false">Resultados!$E$38*$B195-Resultados!$F$38*$B195-Premissas!$B$24-Resultados!$E$38*$B195*(Premissas!$B$14/100)</f>
        <v>24432.4</v>
      </c>
      <c r="I195" s="9" t="n">
        <f aca="false">H195-$C195</f>
        <v>24432.4</v>
      </c>
      <c r="J195" s="9" t="n">
        <f aca="false">J194+I195</f>
        <v>4259147.47999999</v>
      </c>
      <c r="K195" s="37" t="str">
        <f aca="false">IF(AND(J194&lt;0,J195&gt;=0,A195&lt;=MAX(120,Premissas!$B$15*12)),(A195-1)+(-J194)/I195,"")</f>
        <v/>
      </c>
      <c r="L195" s="9" t="n">
        <f aca="false">Resultados!$E$39*$B195-Resultados!$F$39*$B195-Premissas!$B$24-Resultados!$E$39*$B195*(Premissas!$B$14/100)</f>
        <v>29837.8</v>
      </c>
      <c r="M195" s="9" t="n">
        <f aca="false">L195-$C195</f>
        <v>29837.8</v>
      </c>
      <c r="N195" s="9" t="n">
        <f aca="false">N194+M195</f>
        <v>5273741.05999998</v>
      </c>
      <c r="O195" s="37" t="str">
        <f aca="false">IF(AND(N194&lt;0,N195&gt;=0,A195&lt;=MAX(120,Premissas!$B$15*12)),(A195-1)+(-N194)/M195,"")</f>
        <v/>
      </c>
      <c r="P195" s="9" t="n">
        <f aca="false">Resultados!$B$19*$B195-Resultados!$B$20*$B195-Premissas!$B$24-Resultados!$B$19*$B195*(Premissas!$B$14/100)</f>
        <v>24432.4</v>
      </c>
      <c r="Q195" s="9" t="n">
        <f aca="false">P195-$C195</f>
        <v>24432.4</v>
      </c>
      <c r="R195" s="9" t="n">
        <f aca="false">R194+Q195</f>
        <v>4259147.47999999</v>
      </c>
      <c r="S195" s="37" t="str">
        <f aca="false">IF(AND(R194&lt;0,R195&gt;=0,A195&lt;=MAX(120,Premissas!$B$15*12)),(A195-1)+(-R194)/Q195,"")</f>
        <v/>
      </c>
    </row>
    <row r="196" customFormat="false" ht="15" hidden="false" customHeight="false" outlineLevel="0" collapsed="false">
      <c r="A196" s="10" t="n">
        <f aca="false">A195+1</f>
        <v>192</v>
      </c>
      <c r="B196" s="36" t="n">
        <f aca="false">IF(Premissas!$B$9&lt;=1,1,MIN(1,Premissas!$B$8/100+(1-Premissas!$B$8/100)*(A196-1)/(Premissas!$B$9-1)))</f>
        <v>1</v>
      </c>
      <c r="C196" s="9" t="n">
        <f aca="false">IF(A196&lt;=Resultados!$B$9,Resultados!$B$10,0)</f>
        <v>0</v>
      </c>
      <c r="D196" s="9" t="n">
        <f aca="false">Resultados!$E$37*$B196-Resultados!$F$37*$B196-Premissas!$B$24-Resultados!$E$37*$B196*(Premissas!$B$14/100)</f>
        <v>19027</v>
      </c>
      <c r="E196" s="9" t="n">
        <f aca="false">D196-$C196</f>
        <v>19027</v>
      </c>
      <c r="F196" s="9" t="n">
        <f aca="false">F195+E196</f>
        <v>3263580.9</v>
      </c>
      <c r="G196" s="37" t="str">
        <f aca="false">IF(AND(F195&lt;0,F196&gt;=0,A196&lt;=MAX(120,Premissas!$B$15*12)),(A196-1)+(-F195)/E196,"")</f>
        <v/>
      </c>
      <c r="H196" s="9" t="n">
        <f aca="false">Resultados!$E$38*$B196-Resultados!$F$38*$B196-Premissas!$B$24-Resultados!$E$38*$B196*(Premissas!$B$14/100)</f>
        <v>24432.4</v>
      </c>
      <c r="I196" s="9" t="n">
        <f aca="false">H196-$C196</f>
        <v>24432.4</v>
      </c>
      <c r="J196" s="9" t="n">
        <f aca="false">J195+I196</f>
        <v>4283579.87999999</v>
      </c>
      <c r="K196" s="37" t="str">
        <f aca="false">IF(AND(J195&lt;0,J196&gt;=0,A196&lt;=MAX(120,Premissas!$B$15*12)),(A196-1)+(-J195)/I196,"")</f>
        <v/>
      </c>
      <c r="L196" s="9" t="n">
        <f aca="false">Resultados!$E$39*$B196-Resultados!$F$39*$B196-Premissas!$B$24-Resultados!$E$39*$B196*(Premissas!$B$14/100)</f>
        <v>29837.8</v>
      </c>
      <c r="M196" s="9" t="n">
        <f aca="false">L196-$C196</f>
        <v>29837.8</v>
      </c>
      <c r="N196" s="9" t="n">
        <f aca="false">N195+M196</f>
        <v>5303578.85999998</v>
      </c>
      <c r="O196" s="37" t="str">
        <f aca="false">IF(AND(N195&lt;0,N196&gt;=0,A196&lt;=MAX(120,Premissas!$B$15*12)),(A196-1)+(-N195)/M196,"")</f>
        <v/>
      </c>
      <c r="P196" s="9" t="n">
        <f aca="false">Resultados!$B$19*$B196-Resultados!$B$20*$B196-Premissas!$B$24-Resultados!$B$19*$B196*(Premissas!$B$14/100)</f>
        <v>24432.4</v>
      </c>
      <c r="Q196" s="9" t="n">
        <f aca="false">P196-$C196</f>
        <v>24432.4</v>
      </c>
      <c r="R196" s="9" t="n">
        <f aca="false">R195+Q196</f>
        <v>4283579.87999999</v>
      </c>
      <c r="S196" s="37" t="str">
        <f aca="false">IF(AND(R195&lt;0,R196&gt;=0,A196&lt;=MAX(120,Premissas!$B$15*12)),(A196-1)+(-R195)/Q196,"")</f>
        <v/>
      </c>
    </row>
    <row r="197" customFormat="false" ht="15" hidden="false" customHeight="false" outlineLevel="0" collapsed="false">
      <c r="A197" s="10" t="n">
        <f aca="false">A196+1</f>
        <v>193</v>
      </c>
      <c r="B197" s="36" t="n">
        <f aca="false">IF(Premissas!$B$9&lt;=1,1,MIN(1,Premissas!$B$8/100+(1-Premissas!$B$8/100)*(A197-1)/(Premissas!$B$9-1)))</f>
        <v>1</v>
      </c>
      <c r="C197" s="9" t="n">
        <f aca="false">IF(A197&lt;=Resultados!$B$9,Resultados!$B$10,0)</f>
        <v>0</v>
      </c>
      <c r="D197" s="9" t="n">
        <f aca="false">Resultados!$E$37*$B197-Resultados!$F$37*$B197-Premissas!$B$24-Resultados!$E$37*$B197*(Premissas!$B$14/100)</f>
        <v>19027</v>
      </c>
      <c r="E197" s="9" t="n">
        <f aca="false">D197-$C197</f>
        <v>19027</v>
      </c>
      <c r="F197" s="9" t="n">
        <f aca="false">F196+E197</f>
        <v>3282607.9</v>
      </c>
      <c r="G197" s="37" t="str">
        <f aca="false">IF(AND(F196&lt;0,F197&gt;=0,A197&lt;=MAX(120,Premissas!$B$15*12)),(A197-1)+(-F196)/E197,"")</f>
        <v/>
      </c>
      <c r="H197" s="9" t="n">
        <f aca="false">Resultados!$E$38*$B197-Resultados!$F$38*$B197-Premissas!$B$24-Resultados!$E$38*$B197*(Premissas!$B$14/100)</f>
        <v>24432.4</v>
      </c>
      <c r="I197" s="9" t="n">
        <f aca="false">H197-$C197</f>
        <v>24432.4</v>
      </c>
      <c r="J197" s="9" t="n">
        <f aca="false">J196+I197</f>
        <v>4308012.27999999</v>
      </c>
      <c r="K197" s="37" t="str">
        <f aca="false">IF(AND(J196&lt;0,J197&gt;=0,A197&lt;=MAX(120,Premissas!$B$15*12)),(A197-1)+(-J196)/I197,"")</f>
        <v/>
      </c>
      <c r="L197" s="9" t="n">
        <f aca="false">Resultados!$E$39*$B197-Resultados!$F$39*$B197-Premissas!$B$24-Resultados!$E$39*$B197*(Premissas!$B$14/100)</f>
        <v>29837.8</v>
      </c>
      <c r="M197" s="9" t="n">
        <f aca="false">L197-$C197</f>
        <v>29837.8</v>
      </c>
      <c r="N197" s="9" t="n">
        <f aca="false">N196+M197</f>
        <v>5333416.65999998</v>
      </c>
      <c r="O197" s="37" t="str">
        <f aca="false">IF(AND(N196&lt;0,N197&gt;=0,A197&lt;=MAX(120,Premissas!$B$15*12)),(A197-1)+(-N196)/M197,"")</f>
        <v/>
      </c>
      <c r="P197" s="9" t="n">
        <f aca="false">Resultados!$B$19*$B197-Resultados!$B$20*$B197-Premissas!$B$24-Resultados!$B$19*$B197*(Premissas!$B$14/100)</f>
        <v>24432.4</v>
      </c>
      <c r="Q197" s="9" t="n">
        <f aca="false">P197-$C197</f>
        <v>24432.4</v>
      </c>
      <c r="R197" s="9" t="n">
        <f aca="false">R196+Q197</f>
        <v>4308012.27999999</v>
      </c>
      <c r="S197" s="37" t="str">
        <f aca="false">IF(AND(R196&lt;0,R197&gt;=0,A197&lt;=MAX(120,Premissas!$B$15*12)),(A197-1)+(-R196)/Q197,"")</f>
        <v/>
      </c>
    </row>
    <row r="198" customFormat="false" ht="15" hidden="false" customHeight="false" outlineLevel="0" collapsed="false">
      <c r="A198" s="10" t="n">
        <f aca="false">A197+1</f>
        <v>194</v>
      </c>
      <c r="B198" s="36" t="n">
        <f aca="false">IF(Premissas!$B$9&lt;=1,1,MIN(1,Premissas!$B$8/100+(1-Premissas!$B$8/100)*(A198-1)/(Premissas!$B$9-1)))</f>
        <v>1</v>
      </c>
      <c r="C198" s="9" t="n">
        <f aca="false">IF(A198&lt;=Resultados!$B$9,Resultados!$B$10,0)</f>
        <v>0</v>
      </c>
      <c r="D198" s="9" t="n">
        <f aca="false">Resultados!$E$37*$B198-Resultados!$F$37*$B198-Premissas!$B$24-Resultados!$E$37*$B198*(Premissas!$B$14/100)</f>
        <v>19027</v>
      </c>
      <c r="E198" s="9" t="n">
        <f aca="false">D198-$C198</f>
        <v>19027</v>
      </c>
      <c r="F198" s="9" t="n">
        <f aca="false">F197+E198</f>
        <v>3301634.9</v>
      </c>
      <c r="G198" s="37" t="str">
        <f aca="false">IF(AND(F197&lt;0,F198&gt;=0,A198&lt;=MAX(120,Premissas!$B$15*12)),(A198-1)+(-F197)/E198,"")</f>
        <v/>
      </c>
      <c r="H198" s="9" t="n">
        <f aca="false">Resultados!$E$38*$B198-Resultados!$F$38*$B198-Premissas!$B$24-Resultados!$E$38*$B198*(Premissas!$B$14/100)</f>
        <v>24432.4</v>
      </c>
      <c r="I198" s="9" t="n">
        <f aca="false">H198-$C198</f>
        <v>24432.4</v>
      </c>
      <c r="J198" s="9" t="n">
        <f aca="false">J197+I198</f>
        <v>4332444.67999999</v>
      </c>
      <c r="K198" s="37" t="str">
        <f aca="false">IF(AND(J197&lt;0,J198&gt;=0,A198&lt;=MAX(120,Premissas!$B$15*12)),(A198-1)+(-J197)/I198,"")</f>
        <v/>
      </c>
      <c r="L198" s="9" t="n">
        <f aca="false">Resultados!$E$39*$B198-Resultados!$F$39*$B198-Premissas!$B$24-Resultados!$E$39*$B198*(Premissas!$B$14/100)</f>
        <v>29837.8</v>
      </c>
      <c r="M198" s="9" t="n">
        <f aca="false">L198-$C198</f>
        <v>29837.8</v>
      </c>
      <c r="N198" s="9" t="n">
        <f aca="false">N197+M198</f>
        <v>5363254.45999998</v>
      </c>
      <c r="O198" s="37" t="str">
        <f aca="false">IF(AND(N197&lt;0,N198&gt;=0,A198&lt;=MAX(120,Premissas!$B$15*12)),(A198-1)+(-N197)/M198,"")</f>
        <v/>
      </c>
      <c r="P198" s="9" t="n">
        <f aca="false">Resultados!$B$19*$B198-Resultados!$B$20*$B198-Premissas!$B$24-Resultados!$B$19*$B198*(Premissas!$B$14/100)</f>
        <v>24432.4</v>
      </c>
      <c r="Q198" s="9" t="n">
        <f aca="false">P198-$C198</f>
        <v>24432.4</v>
      </c>
      <c r="R198" s="9" t="n">
        <f aca="false">R197+Q198</f>
        <v>4332444.67999999</v>
      </c>
      <c r="S198" s="37" t="str">
        <f aca="false">IF(AND(R197&lt;0,R198&gt;=0,A198&lt;=MAX(120,Premissas!$B$15*12)),(A198-1)+(-R197)/Q198,"")</f>
        <v/>
      </c>
    </row>
    <row r="199" customFormat="false" ht="15" hidden="false" customHeight="false" outlineLevel="0" collapsed="false">
      <c r="A199" s="10" t="n">
        <f aca="false">A198+1</f>
        <v>195</v>
      </c>
      <c r="B199" s="36" t="n">
        <f aca="false">IF(Premissas!$B$9&lt;=1,1,MIN(1,Premissas!$B$8/100+(1-Premissas!$B$8/100)*(A199-1)/(Premissas!$B$9-1)))</f>
        <v>1</v>
      </c>
      <c r="C199" s="9" t="n">
        <f aca="false">IF(A199&lt;=Resultados!$B$9,Resultados!$B$10,0)</f>
        <v>0</v>
      </c>
      <c r="D199" s="9" t="n">
        <f aca="false">Resultados!$E$37*$B199-Resultados!$F$37*$B199-Premissas!$B$24-Resultados!$E$37*$B199*(Premissas!$B$14/100)</f>
        <v>19027</v>
      </c>
      <c r="E199" s="9" t="n">
        <f aca="false">D199-$C199</f>
        <v>19027</v>
      </c>
      <c r="F199" s="9" t="n">
        <f aca="false">F198+E199</f>
        <v>3320661.9</v>
      </c>
      <c r="G199" s="37" t="str">
        <f aca="false">IF(AND(F198&lt;0,F199&gt;=0,A199&lt;=MAX(120,Premissas!$B$15*12)),(A199-1)+(-F198)/E199,"")</f>
        <v/>
      </c>
      <c r="H199" s="9" t="n">
        <f aca="false">Resultados!$E$38*$B199-Resultados!$F$38*$B199-Premissas!$B$24-Resultados!$E$38*$B199*(Premissas!$B$14/100)</f>
        <v>24432.4</v>
      </c>
      <c r="I199" s="9" t="n">
        <f aca="false">H199-$C199</f>
        <v>24432.4</v>
      </c>
      <c r="J199" s="9" t="n">
        <f aca="false">J198+I199</f>
        <v>4356877.07999999</v>
      </c>
      <c r="K199" s="37" t="str">
        <f aca="false">IF(AND(J198&lt;0,J199&gt;=0,A199&lt;=MAX(120,Premissas!$B$15*12)),(A199-1)+(-J198)/I199,"")</f>
        <v/>
      </c>
      <c r="L199" s="9" t="n">
        <f aca="false">Resultados!$E$39*$B199-Resultados!$F$39*$B199-Premissas!$B$24-Resultados!$E$39*$B199*(Premissas!$B$14/100)</f>
        <v>29837.8</v>
      </c>
      <c r="M199" s="9" t="n">
        <f aca="false">L199-$C199</f>
        <v>29837.8</v>
      </c>
      <c r="N199" s="9" t="n">
        <f aca="false">N198+M199</f>
        <v>5393092.25999998</v>
      </c>
      <c r="O199" s="37" t="str">
        <f aca="false">IF(AND(N198&lt;0,N199&gt;=0,A199&lt;=MAX(120,Premissas!$B$15*12)),(A199-1)+(-N198)/M199,"")</f>
        <v/>
      </c>
      <c r="P199" s="9" t="n">
        <f aca="false">Resultados!$B$19*$B199-Resultados!$B$20*$B199-Premissas!$B$24-Resultados!$B$19*$B199*(Premissas!$B$14/100)</f>
        <v>24432.4</v>
      </c>
      <c r="Q199" s="9" t="n">
        <f aca="false">P199-$C199</f>
        <v>24432.4</v>
      </c>
      <c r="R199" s="9" t="n">
        <f aca="false">R198+Q199</f>
        <v>4356877.07999999</v>
      </c>
      <c r="S199" s="37" t="str">
        <f aca="false">IF(AND(R198&lt;0,R199&gt;=0,A199&lt;=MAX(120,Premissas!$B$15*12)),(A199-1)+(-R198)/Q199,"")</f>
        <v/>
      </c>
    </row>
    <row r="200" customFormat="false" ht="15" hidden="false" customHeight="false" outlineLevel="0" collapsed="false">
      <c r="A200" s="10" t="n">
        <f aca="false">A199+1</f>
        <v>196</v>
      </c>
      <c r="B200" s="36" t="n">
        <f aca="false">IF(Premissas!$B$9&lt;=1,1,MIN(1,Premissas!$B$8/100+(1-Premissas!$B$8/100)*(A200-1)/(Premissas!$B$9-1)))</f>
        <v>1</v>
      </c>
      <c r="C200" s="9" t="n">
        <f aca="false">IF(A200&lt;=Resultados!$B$9,Resultados!$B$10,0)</f>
        <v>0</v>
      </c>
      <c r="D200" s="9" t="n">
        <f aca="false">Resultados!$E$37*$B200-Resultados!$F$37*$B200-Premissas!$B$24-Resultados!$E$37*$B200*(Premissas!$B$14/100)</f>
        <v>19027</v>
      </c>
      <c r="E200" s="9" t="n">
        <f aca="false">D200-$C200</f>
        <v>19027</v>
      </c>
      <c r="F200" s="9" t="n">
        <f aca="false">F199+E200</f>
        <v>3339688.9</v>
      </c>
      <c r="G200" s="37" t="str">
        <f aca="false">IF(AND(F199&lt;0,F200&gt;=0,A200&lt;=MAX(120,Premissas!$B$15*12)),(A200-1)+(-F199)/E200,"")</f>
        <v/>
      </c>
      <c r="H200" s="9" t="n">
        <f aca="false">Resultados!$E$38*$B200-Resultados!$F$38*$B200-Premissas!$B$24-Resultados!$E$38*$B200*(Premissas!$B$14/100)</f>
        <v>24432.4</v>
      </c>
      <c r="I200" s="9" t="n">
        <f aca="false">H200-$C200</f>
        <v>24432.4</v>
      </c>
      <c r="J200" s="9" t="n">
        <f aca="false">J199+I200</f>
        <v>4381309.47999999</v>
      </c>
      <c r="K200" s="37" t="str">
        <f aca="false">IF(AND(J199&lt;0,J200&gt;=0,A200&lt;=MAX(120,Premissas!$B$15*12)),(A200-1)+(-J199)/I200,"")</f>
        <v/>
      </c>
      <c r="L200" s="9" t="n">
        <f aca="false">Resultados!$E$39*$B200-Resultados!$F$39*$B200-Premissas!$B$24-Resultados!$E$39*$B200*(Premissas!$B$14/100)</f>
        <v>29837.8</v>
      </c>
      <c r="M200" s="9" t="n">
        <f aca="false">L200-$C200</f>
        <v>29837.8</v>
      </c>
      <c r="N200" s="9" t="n">
        <f aca="false">N199+M200</f>
        <v>5422930.05999998</v>
      </c>
      <c r="O200" s="37" t="str">
        <f aca="false">IF(AND(N199&lt;0,N200&gt;=0,A200&lt;=MAX(120,Premissas!$B$15*12)),(A200-1)+(-N199)/M200,"")</f>
        <v/>
      </c>
      <c r="P200" s="9" t="n">
        <f aca="false">Resultados!$B$19*$B200-Resultados!$B$20*$B200-Premissas!$B$24-Resultados!$B$19*$B200*(Premissas!$B$14/100)</f>
        <v>24432.4</v>
      </c>
      <c r="Q200" s="9" t="n">
        <f aca="false">P200-$C200</f>
        <v>24432.4</v>
      </c>
      <c r="R200" s="9" t="n">
        <f aca="false">R199+Q200</f>
        <v>4381309.47999999</v>
      </c>
      <c r="S200" s="37" t="str">
        <f aca="false">IF(AND(R199&lt;0,R200&gt;=0,A200&lt;=MAX(120,Premissas!$B$15*12)),(A200-1)+(-R199)/Q200,"")</f>
        <v/>
      </c>
    </row>
    <row r="201" customFormat="false" ht="15" hidden="false" customHeight="false" outlineLevel="0" collapsed="false">
      <c r="A201" s="10" t="n">
        <f aca="false">A200+1</f>
        <v>197</v>
      </c>
      <c r="B201" s="36" t="n">
        <f aca="false">IF(Premissas!$B$9&lt;=1,1,MIN(1,Premissas!$B$8/100+(1-Premissas!$B$8/100)*(A201-1)/(Premissas!$B$9-1)))</f>
        <v>1</v>
      </c>
      <c r="C201" s="9" t="n">
        <f aca="false">IF(A201&lt;=Resultados!$B$9,Resultados!$B$10,0)</f>
        <v>0</v>
      </c>
      <c r="D201" s="9" t="n">
        <f aca="false">Resultados!$E$37*$B201-Resultados!$F$37*$B201-Premissas!$B$24-Resultados!$E$37*$B201*(Premissas!$B$14/100)</f>
        <v>19027</v>
      </c>
      <c r="E201" s="9" t="n">
        <f aca="false">D201-$C201</f>
        <v>19027</v>
      </c>
      <c r="F201" s="9" t="n">
        <f aca="false">F200+E201</f>
        <v>3358715.9</v>
      </c>
      <c r="G201" s="37" t="str">
        <f aca="false">IF(AND(F200&lt;0,F201&gt;=0,A201&lt;=MAX(120,Premissas!$B$15*12)),(A201-1)+(-F200)/E201,"")</f>
        <v/>
      </c>
      <c r="H201" s="9" t="n">
        <f aca="false">Resultados!$E$38*$B201-Resultados!$F$38*$B201-Premissas!$B$24-Resultados!$E$38*$B201*(Premissas!$B$14/100)</f>
        <v>24432.4</v>
      </c>
      <c r="I201" s="9" t="n">
        <f aca="false">H201-$C201</f>
        <v>24432.4</v>
      </c>
      <c r="J201" s="9" t="n">
        <f aca="false">J200+I201</f>
        <v>4405741.87999999</v>
      </c>
      <c r="K201" s="37" t="str">
        <f aca="false">IF(AND(J200&lt;0,J201&gt;=0,A201&lt;=MAX(120,Premissas!$B$15*12)),(A201-1)+(-J200)/I201,"")</f>
        <v/>
      </c>
      <c r="L201" s="9" t="n">
        <f aca="false">Resultados!$E$39*$B201-Resultados!$F$39*$B201-Premissas!$B$24-Resultados!$E$39*$B201*(Premissas!$B$14/100)</f>
        <v>29837.8</v>
      </c>
      <c r="M201" s="9" t="n">
        <f aca="false">L201-$C201</f>
        <v>29837.8</v>
      </c>
      <c r="N201" s="9" t="n">
        <f aca="false">N200+M201</f>
        <v>5452767.85999998</v>
      </c>
      <c r="O201" s="37" t="str">
        <f aca="false">IF(AND(N200&lt;0,N201&gt;=0,A201&lt;=MAX(120,Premissas!$B$15*12)),(A201-1)+(-N200)/M201,"")</f>
        <v/>
      </c>
      <c r="P201" s="9" t="n">
        <f aca="false">Resultados!$B$19*$B201-Resultados!$B$20*$B201-Premissas!$B$24-Resultados!$B$19*$B201*(Premissas!$B$14/100)</f>
        <v>24432.4</v>
      </c>
      <c r="Q201" s="9" t="n">
        <f aca="false">P201-$C201</f>
        <v>24432.4</v>
      </c>
      <c r="R201" s="9" t="n">
        <f aca="false">R200+Q201</f>
        <v>4405741.87999999</v>
      </c>
      <c r="S201" s="37" t="str">
        <f aca="false">IF(AND(R200&lt;0,R201&gt;=0,A201&lt;=MAX(120,Premissas!$B$15*12)),(A201-1)+(-R200)/Q201,"")</f>
        <v/>
      </c>
    </row>
    <row r="202" customFormat="false" ht="15" hidden="false" customHeight="false" outlineLevel="0" collapsed="false">
      <c r="A202" s="10" t="n">
        <f aca="false">A201+1</f>
        <v>198</v>
      </c>
      <c r="B202" s="36" t="n">
        <f aca="false">IF(Premissas!$B$9&lt;=1,1,MIN(1,Premissas!$B$8/100+(1-Premissas!$B$8/100)*(A202-1)/(Premissas!$B$9-1)))</f>
        <v>1</v>
      </c>
      <c r="C202" s="9" t="n">
        <f aca="false">IF(A202&lt;=Resultados!$B$9,Resultados!$B$10,0)</f>
        <v>0</v>
      </c>
      <c r="D202" s="9" t="n">
        <f aca="false">Resultados!$E$37*$B202-Resultados!$F$37*$B202-Premissas!$B$24-Resultados!$E$37*$B202*(Premissas!$B$14/100)</f>
        <v>19027</v>
      </c>
      <c r="E202" s="9" t="n">
        <f aca="false">D202-$C202</f>
        <v>19027</v>
      </c>
      <c r="F202" s="9" t="n">
        <f aca="false">F201+E202</f>
        <v>3377742.9</v>
      </c>
      <c r="G202" s="37" t="str">
        <f aca="false">IF(AND(F201&lt;0,F202&gt;=0,A202&lt;=MAX(120,Premissas!$B$15*12)),(A202-1)+(-F201)/E202,"")</f>
        <v/>
      </c>
      <c r="H202" s="9" t="n">
        <f aca="false">Resultados!$E$38*$B202-Resultados!$F$38*$B202-Premissas!$B$24-Resultados!$E$38*$B202*(Premissas!$B$14/100)</f>
        <v>24432.4</v>
      </c>
      <c r="I202" s="9" t="n">
        <f aca="false">H202-$C202</f>
        <v>24432.4</v>
      </c>
      <c r="J202" s="9" t="n">
        <f aca="false">J201+I202</f>
        <v>4430174.27999999</v>
      </c>
      <c r="K202" s="37" t="str">
        <f aca="false">IF(AND(J201&lt;0,J202&gt;=0,A202&lt;=MAX(120,Premissas!$B$15*12)),(A202-1)+(-J201)/I202,"")</f>
        <v/>
      </c>
      <c r="L202" s="9" t="n">
        <f aca="false">Resultados!$E$39*$B202-Resultados!$F$39*$B202-Premissas!$B$24-Resultados!$E$39*$B202*(Premissas!$B$14/100)</f>
        <v>29837.8</v>
      </c>
      <c r="M202" s="9" t="n">
        <f aca="false">L202-$C202</f>
        <v>29837.8</v>
      </c>
      <c r="N202" s="9" t="n">
        <f aca="false">N201+M202</f>
        <v>5482605.65999998</v>
      </c>
      <c r="O202" s="37" t="str">
        <f aca="false">IF(AND(N201&lt;0,N202&gt;=0,A202&lt;=MAX(120,Premissas!$B$15*12)),(A202-1)+(-N201)/M202,"")</f>
        <v/>
      </c>
      <c r="P202" s="9" t="n">
        <f aca="false">Resultados!$B$19*$B202-Resultados!$B$20*$B202-Premissas!$B$24-Resultados!$B$19*$B202*(Premissas!$B$14/100)</f>
        <v>24432.4</v>
      </c>
      <c r="Q202" s="9" t="n">
        <f aca="false">P202-$C202</f>
        <v>24432.4</v>
      </c>
      <c r="R202" s="9" t="n">
        <f aca="false">R201+Q202</f>
        <v>4430174.27999999</v>
      </c>
      <c r="S202" s="37" t="str">
        <f aca="false">IF(AND(R201&lt;0,R202&gt;=0,A202&lt;=MAX(120,Premissas!$B$15*12)),(A202-1)+(-R201)/Q202,"")</f>
        <v/>
      </c>
    </row>
    <row r="203" customFormat="false" ht="15" hidden="false" customHeight="false" outlineLevel="0" collapsed="false">
      <c r="A203" s="10" t="n">
        <f aca="false">A202+1</f>
        <v>199</v>
      </c>
      <c r="B203" s="36" t="n">
        <f aca="false">IF(Premissas!$B$9&lt;=1,1,MIN(1,Premissas!$B$8/100+(1-Premissas!$B$8/100)*(A203-1)/(Premissas!$B$9-1)))</f>
        <v>1</v>
      </c>
      <c r="C203" s="9" t="n">
        <f aca="false">IF(A203&lt;=Resultados!$B$9,Resultados!$B$10,0)</f>
        <v>0</v>
      </c>
      <c r="D203" s="9" t="n">
        <f aca="false">Resultados!$E$37*$B203-Resultados!$F$37*$B203-Premissas!$B$24-Resultados!$E$37*$B203*(Premissas!$B$14/100)</f>
        <v>19027</v>
      </c>
      <c r="E203" s="9" t="n">
        <f aca="false">D203-$C203</f>
        <v>19027</v>
      </c>
      <c r="F203" s="9" t="n">
        <f aca="false">F202+E203</f>
        <v>3396769.9</v>
      </c>
      <c r="G203" s="37" t="str">
        <f aca="false">IF(AND(F202&lt;0,F203&gt;=0,A203&lt;=MAX(120,Premissas!$B$15*12)),(A203-1)+(-F202)/E203,"")</f>
        <v/>
      </c>
      <c r="H203" s="9" t="n">
        <f aca="false">Resultados!$E$38*$B203-Resultados!$F$38*$B203-Premissas!$B$24-Resultados!$E$38*$B203*(Premissas!$B$14/100)</f>
        <v>24432.4</v>
      </c>
      <c r="I203" s="9" t="n">
        <f aca="false">H203-$C203</f>
        <v>24432.4</v>
      </c>
      <c r="J203" s="9" t="n">
        <f aca="false">J202+I203</f>
        <v>4454606.67999999</v>
      </c>
      <c r="K203" s="37" t="str">
        <f aca="false">IF(AND(J202&lt;0,J203&gt;=0,A203&lt;=MAX(120,Premissas!$B$15*12)),(A203-1)+(-J202)/I203,"")</f>
        <v/>
      </c>
      <c r="L203" s="9" t="n">
        <f aca="false">Resultados!$E$39*$B203-Resultados!$F$39*$B203-Premissas!$B$24-Resultados!$E$39*$B203*(Premissas!$B$14/100)</f>
        <v>29837.8</v>
      </c>
      <c r="M203" s="9" t="n">
        <f aca="false">L203-$C203</f>
        <v>29837.8</v>
      </c>
      <c r="N203" s="9" t="n">
        <f aca="false">N202+M203</f>
        <v>5512443.45999998</v>
      </c>
      <c r="O203" s="37" t="str">
        <f aca="false">IF(AND(N202&lt;0,N203&gt;=0,A203&lt;=MAX(120,Premissas!$B$15*12)),(A203-1)+(-N202)/M203,"")</f>
        <v/>
      </c>
      <c r="P203" s="9" t="n">
        <f aca="false">Resultados!$B$19*$B203-Resultados!$B$20*$B203-Premissas!$B$24-Resultados!$B$19*$B203*(Premissas!$B$14/100)</f>
        <v>24432.4</v>
      </c>
      <c r="Q203" s="9" t="n">
        <f aca="false">P203-$C203</f>
        <v>24432.4</v>
      </c>
      <c r="R203" s="9" t="n">
        <f aca="false">R202+Q203</f>
        <v>4454606.67999999</v>
      </c>
      <c r="S203" s="37" t="str">
        <f aca="false">IF(AND(R202&lt;0,R203&gt;=0,A203&lt;=MAX(120,Premissas!$B$15*12)),(A203-1)+(-R202)/Q203,"")</f>
        <v/>
      </c>
    </row>
    <row r="204" customFormat="false" ht="15" hidden="false" customHeight="false" outlineLevel="0" collapsed="false">
      <c r="A204" s="10" t="n">
        <f aca="false">A203+1</f>
        <v>200</v>
      </c>
      <c r="B204" s="36" t="n">
        <f aca="false">IF(Premissas!$B$9&lt;=1,1,MIN(1,Premissas!$B$8/100+(1-Premissas!$B$8/100)*(A204-1)/(Premissas!$B$9-1)))</f>
        <v>1</v>
      </c>
      <c r="C204" s="9" t="n">
        <f aca="false">IF(A204&lt;=Resultados!$B$9,Resultados!$B$10,0)</f>
        <v>0</v>
      </c>
      <c r="D204" s="9" t="n">
        <f aca="false">Resultados!$E$37*$B204-Resultados!$F$37*$B204-Premissas!$B$24-Resultados!$E$37*$B204*(Premissas!$B$14/100)</f>
        <v>19027</v>
      </c>
      <c r="E204" s="9" t="n">
        <f aca="false">D204-$C204</f>
        <v>19027</v>
      </c>
      <c r="F204" s="9" t="n">
        <f aca="false">F203+E204</f>
        <v>3415796.9</v>
      </c>
      <c r="G204" s="37" t="str">
        <f aca="false">IF(AND(F203&lt;0,F204&gt;=0,A204&lt;=MAX(120,Premissas!$B$15*12)),(A204-1)+(-F203)/E204,"")</f>
        <v/>
      </c>
      <c r="H204" s="9" t="n">
        <f aca="false">Resultados!$E$38*$B204-Resultados!$F$38*$B204-Premissas!$B$24-Resultados!$E$38*$B204*(Premissas!$B$14/100)</f>
        <v>24432.4</v>
      </c>
      <c r="I204" s="9" t="n">
        <f aca="false">H204-$C204</f>
        <v>24432.4</v>
      </c>
      <c r="J204" s="9" t="n">
        <f aca="false">J203+I204</f>
        <v>4479039.07999999</v>
      </c>
      <c r="K204" s="37" t="str">
        <f aca="false">IF(AND(J203&lt;0,J204&gt;=0,A204&lt;=MAX(120,Premissas!$B$15*12)),(A204-1)+(-J203)/I204,"")</f>
        <v/>
      </c>
      <c r="L204" s="9" t="n">
        <f aca="false">Resultados!$E$39*$B204-Resultados!$F$39*$B204-Premissas!$B$24-Resultados!$E$39*$B204*(Premissas!$B$14/100)</f>
        <v>29837.8</v>
      </c>
      <c r="M204" s="9" t="n">
        <f aca="false">L204-$C204</f>
        <v>29837.8</v>
      </c>
      <c r="N204" s="9" t="n">
        <f aca="false">N203+M204</f>
        <v>5542281.25999998</v>
      </c>
      <c r="O204" s="37" t="str">
        <f aca="false">IF(AND(N203&lt;0,N204&gt;=0,A204&lt;=MAX(120,Premissas!$B$15*12)),(A204-1)+(-N203)/M204,"")</f>
        <v/>
      </c>
      <c r="P204" s="9" t="n">
        <f aca="false">Resultados!$B$19*$B204-Resultados!$B$20*$B204-Premissas!$B$24-Resultados!$B$19*$B204*(Premissas!$B$14/100)</f>
        <v>24432.4</v>
      </c>
      <c r="Q204" s="9" t="n">
        <f aca="false">P204-$C204</f>
        <v>24432.4</v>
      </c>
      <c r="R204" s="9" t="n">
        <f aca="false">R203+Q204</f>
        <v>4479039.07999999</v>
      </c>
      <c r="S204" s="37" t="str">
        <f aca="false">IF(AND(R203&lt;0,R204&gt;=0,A204&lt;=MAX(120,Premissas!$B$15*12)),(A204-1)+(-R203)/Q204,"")</f>
        <v/>
      </c>
    </row>
    <row r="205" customFormat="false" ht="15" hidden="false" customHeight="false" outlineLevel="0" collapsed="false">
      <c r="A205" s="10" t="n">
        <f aca="false">A204+1</f>
        <v>201</v>
      </c>
      <c r="B205" s="36" t="n">
        <f aca="false">IF(Premissas!$B$9&lt;=1,1,MIN(1,Premissas!$B$8/100+(1-Premissas!$B$8/100)*(A205-1)/(Premissas!$B$9-1)))</f>
        <v>1</v>
      </c>
      <c r="C205" s="9" t="n">
        <f aca="false">IF(A205&lt;=Resultados!$B$9,Resultados!$B$10,0)</f>
        <v>0</v>
      </c>
      <c r="D205" s="9" t="n">
        <f aca="false">Resultados!$E$37*$B205-Resultados!$F$37*$B205-Premissas!$B$24-Resultados!$E$37*$B205*(Premissas!$B$14/100)</f>
        <v>19027</v>
      </c>
      <c r="E205" s="9" t="n">
        <f aca="false">D205-$C205</f>
        <v>19027</v>
      </c>
      <c r="F205" s="9" t="n">
        <f aca="false">F204+E205</f>
        <v>3434823.9</v>
      </c>
      <c r="G205" s="37" t="str">
        <f aca="false">IF(AND(F204&lt;0,F205&gt;=0,A205&lt;=MAX(120,Premissas!$B$15*12)),(A205-1)+(-F204)/E205,"")</f>
        <v/>
      </c>
      <c r="H205" s="9" t="n">
        <f aca="false">Resultados!$E$38*$B205-Resultados!$F$38*$B205-Premissas!$B$24-Resultados!$E$38*$B205*(Premissas!$B$14/100)</f>
        <v>24432.4</v>
      </c>
      <c r="I205" s="9" t="n">
        <f aca="false">H205-$C205</f>
        <v>24432.4</v>
      </c>
      <c r="J205" s="9" t="n">
        <f aca="false">J204+I205</f>
        <v>4503471.47999999</v>
      </c>
      <c r="K205" s="37" t="str">
        <f aca="false">IF(AND(J204&lt;0,J205&gt;=0,A205&lt;=MAX(120,Premissas!$B$15*12)),(A205-1)+(-J204)/I205,"")</f>
        <v/>
      </c>
      <c r="L205" s="9" t="n">
        <f aca="false">Resultados!$E$39*$B205-Resultados!$F$39*$B205-Premissas!$B$24-Resultados!$E$39*$B205*(Premissas!$B$14/100)</f>
        <v>29837.8</v>
      </c>
      <c r="M205" s="9" t="n">
        <f aca="false">L205-$C205</f>
        <v>29837.8</v>
      </c>
      <c r="N205" s="9" t="n">
        <f aca="false">N204+M205</f>
        <v>5572119.05999998</v>
      </c>
      <c r="O205" s="37" t="str">
        <f aca="false">IF(AND(N204&lt;0,N205&gt;=0,A205&lt;=MAX(120,Premissas!$B$15*12)),(A205-1)+(-N204)/M205,"")</f>
        <v/>
      </c>
      <c r="P205" s="9" t="n">
        <f aca="false">Resultados!$B$19*$B205-Resultados!$B$20*$B205-Premissas!$B$24-Resultados!$B$19*$B205*(Premissas!$B$14/100)</f>
        <v>24432.4</v>
      </c>
      <c r="Q205" s="9" t="n">
        <f aca="false">P205-$C205</f>
        <v>24432.4</v>
      </c>
      <c r="R205" s="9" t="n">
        <f aca="false">R204+Q205</f>
        <v>4503471.47999999</v>
      </c>
      <c r="S205" s="37" t="str">
        <f aca="false">IF(AND(R204&lt;0,R205&gt;=0,A205&lt;=MAX(120,Premissas!$B$15*12)),(A205-1)+(-R204)/Q205,"")</f>
        <v/>
      </c>
    </row>
    <row r="206" customFormat="false" ht="15" hidden="false" customHeight="false" outlineLevel="0" collapsed="false">
      <c r="A206" s="10" t="n">
        <f aca="false">A205+1</f>
        <v>202</v>
      </c>
      <c r="B206" s="36" t="n">
        <f aca="false">IF(Premissas!$B$9&lt;=1,1,MIN(1,Premissas!$B$8/100+(1-Premissas!$B$8/100)*(A206-1)/(Premissas!$B$9-1)))</f>
        <v>1</v>
      </c>
      <c r="C206" s="9" t="n">
        <f aca="false">IF(A206&lt;=Resultados!$B$9,Resultados!$B$10,0)</f>
        <v>0</v>
      </c>
      <c r="D206" s="9" t="n">
        <f aca="false">Resultados!$E$37*$B206-Resultados!$F$37*$B206-Premissas!$B$24-Resultados!$E$37*$B206*(Premissas!$B$14/100)</f>
        <v>19027</v>
      </c>
      <c r="E206" s="9" t="n">
        <f aca="false">D206-$C206</f>
        <v>19027</v>
      </c>
      <c r="F206" s="9" t="n">
        <f aca="false">F205+E206</f>
        <v>3453850.9</v>
      </c>
      <c r="G206" s="37" t="str">
        <f aca="false">IF(AND(F205&lt;0,F206&gt;=0,A206&lt;=MAX(120,Premissas!$B$15*12)),(A206-1)+(-F205)/E206,"")</f>
        <v/>
      </c>
      <c r="H206" s="9" t="n">
        <f aca="false">Resultados!$E$38*$B206-Resultados!$F$38*$B206-Premissas!$B$24-Resultados!$E$38*$B206*(Premissas!$B$14/100)</f>
        <v>24432.4</v>
      </c>
      <c r="I206" s="9" t="n">
        <f aca="false">H206-$C206</f>
        <v>24432.4</v>
      </c>
      <c r="J206" s="9" t="n">
        <f aca="false">J205+I206</f>
        <v>4527903.87999999</v>
      </c>
      <c r="K206" s="37" t="str">
        <f aca="false">IF(AND(J205&lt;0,J206&gt;=0,A206&lt;=MAX(120,Premissas!$B$15*12)),(A206-1)+(-J205)/I206,"")</f>
        <v/>
      </c>
      <c r="L206" s="9" t="n">
        <f aca="false">Resultados!$E$39*$B206-Resultados!$F$39*$B206-Premissas!$B$24-Resultados!$E$39*$B206*(Premissas!$B$14/100)</f>
        <v>29837.8</v>
      </c>
      <c r="M206" s="9" t="n">
        <f aca="false">L206-$C206</f>
        <v>29837.8</v>
      </c>
      <c r="N206" s="9" t="n">
        <f aca="false">N205+M206</f>
        <v>5601956.85999998</v>
      </c>
      <c r="O206" s="37" t="str">
        <f aca="false">IF(AND(N205&lt;0,N206&gt;=0,A206&lt;=MAX(120,Premissas!$B$15*12)),(A206-1)+(-N205)/M206,"")</f>
        <v/>
      </c>
      <c r="P206" s="9" t="n">
        <f aca="false">Resultados!$B$19*$B206-Resultados!$B$20*$B206-Premissas!$B$24-Resultados!$B$19*$B206*(Premissas!$B$14/100)</f>
        <v>24432.4</v>
      </c>
      <c r="Q206" s="9" t="n">
        <f aca="false">P206-$C206</f>
        <v>24432.4</v>
      </c>
      <c r="R206" s="9" t="n">
        <f aca="false">R205+Q206</f>
        <v>4527903.87999999</v>
      </c>
      <c r="S206" s="37" t="str">
        <f aca="false">IF(AND(R205&lt;0,R206&gt;=0,A206&lt;=MAX(120,Premissas!$B$15*12)),(A206-1)+(-R205)/Q206,"")</f>
        <v/>
      </c>
    </row>
    <row r="207" customFormat="false" ht="15" hidden="false" customHeight="false" outlineLevel="0" collapsed="false">
      <c r="A207" s="10" t="n">
        <f aca="false">A206+1</f>
        <v>203</v>
      </c>
      <c r="B207" s="36" t="n">
        <f aca="false">IF(Premissas!$B$9&lt;=1,1,MIN(1,Premissas!$B$8/100+(1-Premissas!$B$8/100)*(A207-1)/(Premissas!$B$9-1)))</f>
        <v>1</v>
      </c>
      <c r="C207" s="9" t="n">
        <f aca="false">IF(A207&lt;=Resultados!$B$9,Resultados!$B$10,0)</f>
        <v>0</v>
      </c>
      <c r="D207" s="9" t="n">
        <f aca="false">Resultados!$E$37*$B207-Resultados!$F$37*$B207-Premissas!$B$24-Resultados!$E$37*$B207*(Premissas!$B$14/100)</f>
        <v>19027</v>
      </c>
      <c r="E207" s="9" t="n">
        <f aca="false">D207-$C207</f>
        <v>19027</v>
      </c>
      <c r="F207" s="9" t="n">
        <f aca="false">F206+E207</f>
        <v>3472877.9</v>
      </c>
      <c r="G207" s="37" t="str">
        <f aca="false">IF(AND(F206&lt;0,F207&gt;=0,A207&lt;=MAX(120,Premissas!$B$15*12)),(A207-1)+(-F206)/E207,"")</f>
        <v/>
      </c>
      <c r="H207" s="9" t="n">
        <f aca="false">Resultados!$E$38*$B207-Resultados!$F$38*$B207-Premissas!$B$24-Resultados!$E$38*$B207*(Premissas!$B$14/100)</f>
        <v>24432.4</v>
      </c>
      <c r="I207" s="9" t="n">
        <f aca="false">H207-$C207</f>
        <v>24432.4</v>
      </c>
      <c r="J207" s="9" t="n">
        <f aca="false">J206+I207</f>
        <v>4552336.28</v>
      </c>
      <c r="K207" s="37" t="str">
        <f aca="false">IF(AND(J206&lt;0,J207&gt;=0,A207&lt;=MAX(120,Premissas!$B$15*12)),(A207-1)+(-J206)/I207,"")</f>
        <v/>
      </c>
      <c r="L207" s="9" t="n">
        <f aca="false">Resultados!$E$39*$B207-Resultados!$F$39*$B207-Premissas!$B$24-Resultados!$E$39*$B207*(Premissas!$B$14/100)</f>
        <v>29837.8</v>
      </c>
      <c r="M207" s="9" t="n">
        <f aca="false">L207-$C207</f>
        <v>29837.8</v>
      </c>
      <c r="N207" s="9" t="n">
        <f aca="false">N206+M207</f>
        <v>5631794.65999998</v>
      </c>
      <c r="O207" s="37" t="str">
        <f aca="false">IF(AND(N206&lt;0,N207&gt;=0,A207&lt;=MAX(120,Premissas!$B$15*12)),(A207-1)+(-N206)/M207,"")</f>
        <v/>
      </c>
      <c r="P207" s="9" t="n">
        <f aca="false">Resultados!$B$19*$B207-Resultados!$B$20*$B207-Premissas!$B$24-Resultados!$B$19*$B207*(Premissas!$B$14/100)</f>
        <v>24432.4</v>
      </c>
      <c r="Q207" s="9" t="n">
        <f aca="false">P207-$C207</f>
        <v>24432.4</v>
      </c>
      <c r="R207" s="9" t="n">
        <f aca="false">R206+Q207</f>
        <v>4552336.28</v>
      </c>
      <c r="S207" s="37" t="str">
        <f aca="false">IF(AND(R206&lt;0,R207&gt;=0,A207&lt;=MAX(120,Premissas!$B$15*12)),(A207-1)+(-R206)/Q207,"")</f>
        <v/>
      </c>
    </row>
    <row r="208" customFormat="false" ht="15" hidden="false" customHeight="false" outlineLevel="0" collapsed="false">
      <c r="A208" s="10" t="n">
        <f aca="false">A207+1</f>
        <v>204</v>
      </c>
      <c r="B208" s="36" t="n">
        <f aca="false">IF(Premissas!$B$9&lt;=1,1,MIN(1,Premissas!$B$8/100+(1-Premissas!$B$8/100)*(A208-1)/(Premissas!$B$9-1)))</f>
        <v>1</v>
      </c>
      <c r="C208" s="9" t="n">
        <f aca="false">IF(A208&lt;=Resultados!$B$9,Resultados!$B$10,0)</f>
        <v>0</v>
      </c>
      <c r="D208" s="9" t="n">
        <f aca="false">Resultados!$E$37*$B208-Resultados!$F$37*$B208-Premissas!$B$24-Resultados!$E$37*$B208*(Premissas!$B$14/100)</f>
        <v>19027</v>
      </c>
      <c r="E208" s="9" t="n">
        <f aca="false">D208-$C208</f>
        <v>19027</v>
      </c>
      <c r="F208" s="9" t="n">
        <f aca="false">F207+E208</f>
        <v>3491904.9</v>
      </c>
      <c r="G208" s="37" t="str">
        <f aca="false">IF(AND(F207&lt;0,F208&gt;=0,A208&lt;=MAX(120,Premissas!$B$15*12)),(A208-1)+(-F207)/E208,"")</f>
        <v/>
      </c>
      <c r="H208" s="9" t="n">
        <f aca="false">Resultados!$E$38*$B208-Resultados!$F$38*$B208-Premissas!$B$24-Resultados!$E$38*$B208*(Premissas!$B$14/100)</f>
        <v>24432.4</v>
      </c>
      <c r="I208" s="9" t="n">
        <f aca="false">H208-$C208</f>
        <v>24432.4</v>
      </c>
      <c r="J208" s="9" t="n">
        <f aca="false">J207+I208</f>
        <v>4576768.68</v>
      </c>
      <c r="K208" s="37" t="str">
        <f aca="false">IF(AND(J207&lt;0,J208&gt;=0,A208&lt;=MAX(120,Premissas!$B$15*12)),(A208-1)+(-J207)/I208,"")</f>
        <v/>
      </c>
      <c r="L208" s="9" t="n">
        <f aca="false">Resultados!$E$39*$B208-Resultados!$F$39*$B208-Premissas!$B$24-Resultados!$E$39*$B208*(Premissas!$B$14/100)</f>
        <v>29837.8</v>
      </c>
      <c r="M208" s="9" t="n">
        <f aca="false">L208-$C208</f>
        <v>29837.8</v>
      </c>
      <c r="N208" s="9" t="n">
        <f aca="false">N207+M208</f>
        <v>5661632.45999998</v>
      </c>
      <c r="O208" s="37" t="str">
        <f aca="false">IF(AND(N207&lt;0,N208&gt;=0,A208&lt;=MAX(120,Premissas!$B$15*12)),(A208-1)+(-N207)/M208,"")</f>
        <v/>
      </c>
      <c r="P208" s="9" t="n">
        <f aca="false">Resultados!$B$19*$B208-Resultados!$B$20*$B208-Premissas!$B$24-Resultados!$B$19*$B208*(Premissas!$B$14/100)</f>
        <v>24432.4</v>
      </c>
      <c r="Q208" s="9" t="n">
        <f aca="false">P208-$C208</f>
        <v>24432.4</v>
      </c>
      <c r="R208" s="9" t="n">
        <f aca="false">R207+Q208</f>
        <v>4576768.68</v>
      </c>
      <c r="S208" s="37" t="str">
        <f aca="false">IF(AND(R207&lt;0,R208&gt;=0,A208&lt;=MAX(120,Premissas!$B$15*12)),(A208-1)+(-R207)/Q208,"")</f>
        <v/>
      </c>
    </row>
    <row r="209" customFormat="false" ht="15" hidden="false" customHeight="false" outlineLevel="0" collapsed="false">
      <c r="A209" s="10" t="n">
        <f aca="false">A208+1</f>
        <v>205</v>
      </c>
      <c r="B209" s="36" t="n">
        <f aca="false">IF(Premissas!$B$9&lt;=1,1,MIN(1,Premissas!$B$8/100+(1-Premissas!$B$8/100)*(A209-1)/(Premissas!$B$9-1)))</f>
        <v>1</v>
      </c>
      <c r="C209" s="9" t="n">
        <f aca="false">IF(A209&lt;=Resultados!$B$9,Resultados!$B$10,0)</f>
        <v>0</v>
      </c>
      <c r="D209" s="9" t="n">
        <f aca="false">Resultados!$E$37*$B209-Resultados!$F$37*$B209-Premissas!$B$24-Resultados!$E$37*$B209*(Premissas!$B$14/100)</f>
        <v>19027</v>
      </c>
      <c r="E209" s="9" t="n">
        <f aca="false">D209-$C209</f>
        <v>19027</v>
      </c>
      <c r="F209" s="9" t="n">
        <f aca="false">F208+E209</f>
        <v>3510931.9</v>
      </c>
      <c r="G209" s="37" t="str">
        <f aca="false">IF(AND(F208&lt;0,F209&gt;=0,A209&lt;=MAX(120,Premissas!$B$15*12)),(A209-1)+(-F208)/E209,"")</f>
        <v/>
      </c>
      <c r="H209" s="9" t="n">
        <f aca="false">Resultados!$E$38*$B209-Resultados!$F$38*$B209-Premissas!$B$24-Resultados!$E$38*$B209*(Premissas!$B$14/100)</f>
        <v>24432.4</v>
      </c>
      <c r="I209" s="9" t="n">
        <f aca="false">H209-$C209</f>
        <v>24432.4</v>
      </c>
      <c r="J209" s="9" t="n">
        <f aca="false">J208+I209</f>
        <v>4601201.08</v>
      </c>
      <c r="K209" s="37" t="str">
        <f aca="false">IF(AND(J208&lt;0,J209&gt;=0,A209&lt;=MAX(120,Premissas!$B$15*12)),(A209-1)+(-J208)/I209,"")</f>
        <v/>
      </c>
      <c r="L209" s="9" t="n">
        <f aca="false">Resultados!$E$39*$B209-Resultados!$F$39*$B209-Premissas!$B$24-Resultados!$E$39*$B209*(Premissas!$B$14/100)</f>
        <v>29837.8</v>
      </c>
      <c r="M209" s="9" t="n">
        <f aca="false">L209-$C209</f>
        <v>29837.8</v>
      </c>
      <c r="N209" s="9" t="n">
        <f aca="false">N208+M209</f>
        <v>5691470.25999998</v>
      </c>
      <c r="O209" s="37" t="str">
        <f aca="false">IF(AND(N208&lt;0,N209&gt;=0,A209&lt;=MAX(120,Premissas!$B$15*12)),(A209-1)+(-N208)/M209,"")</f>
        <v/>
      </c>
      <c r="P209" s="9" t="n">
        <f aca="false">Resultados!$B$19*$B209-Resultados!$B$20*$B209-Premissas!$B$24-Resultados!$B$19*$B209*(Premissas!$B$14/100)</f>
        <v>24432.4</v>
      </c>
      <c r="Q209" s="9" t="n">
        <f aca="false">P209-$C209</f>
        <v>24432.4</v>
      </c>
      <c r="R209" s="9" t="n">
        <f aca="false">R208+Q209</f>
        <v>4601201.08</v>
      </c>
      <c r="S209" s="37" t="str">
        <f aca="false">IF(AND(R208&lt;0,R209&gt;=0,A209&lt;=MAX(120,Premissas!$B$15*12)),(A209-1)+(-R208)/Q209,"")</f>
        <v/>
      </c>
    </row>
    <row r="210" customFormat="false" ht="15" hidden="false" customHeight="false" outlineLevel="0" collapsed="false">
      <c r="A210" s="10" t="n">
        <f aca="false">A209+1</f>
        <v>206</v>
      </c>
      <c r="B210" s="36" t="n">
        <f aca="false">IF(Premissas!$B$9&lt;=1,1,MIN(1,Premissas!$B$8/100+(1-Premissas!$B$8/100)*(A210-1)/(Premissas!$B$9-1)))</f>
        <v>1</v>
      </c>
      <c r="C210" s="9" t="n">
        <f aca="false">IF(A210&lt;=Resultados!$B$9,Resultados!$B$10,0)</f>
        <v>0</v>
      </c>
      <c r="D210" s="9" t="n">
        <f aca="false">Resultados!$E$37*$B210-Resultados!$F$37*$B210-Premissas!$B$24-Resultados!$E$37*$B210*(Premissas!$B$14/100)</f>
        <v>19027</v>
      </c>
      <c r="E210" s="9" t="n">
        <f aca="false">D210-$C210</f>
        <v>19027</v>
      </c>
      <c r="F210" s="9" t="n">
        <f aca="false">F209+E210</f>
        <v>3529958.9</v>
      </c>
      <c r="G210" s="37" t="str">
        <f aca="false">IF(AND(F209&lt;0,F210&gt;=0,A210&lt;=MAX(120,Premissas!$B$15*12)),(A210-1)+(-F209)/E210,"")</f>
        <v/>
      </c>
      <c r="H210" s="9" t="n">
        <f aca="false">Resultados!$E$38*$B210-Resultados!$F$38*$B210-Premissas!$B$24-Resultados!$E$38*$B210*(Premissas!$B$14/100)</f>
        <v>24432.4</v>
      </c>
      <c r="I210" s="9" t="n">
        <f aca="false">H210-$C210</f>
        <v>24432.4</v>
      </c>
      <c r="J210" s="9" t="n">
        <f aca="false">J209+I210</f>
        <v>4625633.48</v>
      </c>
      <c r="K210" s="37" t="str">
        <f aca="false">IF(AND(J209&lt;0,J210&gt;=0,A210&lt;=MAX(120,Premissas!$B$15*12)),(A210-1)+(-J209)/I210,"")</f>
        <v/>
      </c>
      <c r="L210" s="9" t="n">
        <f aca="false">Resultados!$E$39*$B210-Resultados!$F$39*$B210-Premissas!$B$24-Resultados!$E$39*$B210*(Premissas!$B$14/100)</f>
        <v>29837.8</v>
      </c>
      <c r="M210" s="9" t="n">
        <f aca="false">L210-$C210</f>
        <v>29837.8</v>
      </c>
      <c r="N210" s="9" t="n">
        <f aca="false">N209+M210</f>
        <v>5721308.05999998</v>
      </c>
      <c r="O210" s="37" t="str">
        <f aca="false">IF(AND(N209&lt;0,N210&gt;=0,A210&lt;=MAX(120,Premissas!$B$15*12)),(A210-1)+(-N209)/M210,"")</f>
        <v/>
      </c>
      <c r="P210" s="9" t="n">
        <f aca="false">Resultados!$B$19*$B210-Resultados!$B$20*$B210-Premissas!$B$24-Resultados!$B$19*$B210*(Premissas!$B$14/100)</f>
        <v>24432.4</v>
      </c>
      <c r="Q210" s="9" t="n">
        <f aca="false">P210-$C210</f>
        <v>24432.4</v>
      </c>
      <c r="R210" s="9" t="n">
        <f aca="false">R209+Q210</f>
        <v>4625633.48</v>
      </c>
      <c r="S210" s="37" t="str">
        <f aca="false">IF(AND(R209&lt;0,R210&gt;=0,A210&lt;=MAX(120,Premissas!$B$15*12)),(A210-1)+(-R209)/Q210,"")</f>
        <v/>
      </c>
    </row>
    <row r="211" customFormat="false" ht="15" hidden="false" customHeight="false" outlineLevel="0" collapsed="false">
      <c r="A211" s="10" t="n">
        <f aca="false">A210+1</f>
        <v>207</v>
      </c>
      <c r="B211" s="36" t="n">
        <f aca="false">IF(Premissas!$B$9&lt;=1,1,MIN(1,Premissas!$B$8/100+(1-Premissas!$B$8/100)*(A211-1)/(Premissas!$B$9-1)))</f>
        <v>1</v>
      </c>
      <c r="C211" s="9" t="n">
        <f aca="false">IF(A211&lt;=Resultados!$B$9,Resultados!$B$10,0)</f>
        <v>0</v>
      </c>
      <c r="D211" s="9" t="n">
        <f aca="false">Resultados!$E$37*$B211-Resultados!$F$37*$B211-Premissas!$B$24-Resultados!$E$37*$B211*(Premissas!$B$14/100)</f>
        <v>19027</v>
      </c>
      <c r="E211" s="9" t="n">
        <f aca="false">D211-$C211</f>
        <v>19027</v>
      </c>
      <c r="F211" s="9" t="n">
        <f aca="false">F210+E211</f>
        <v>3548985.9</v>
      </c>
      <c r="G211" s="37" t="str">
        <f aca="false">IF(AND(F210&lt;0,F211&gt;=0,A211&lt;=MAX(120,Premissas!$B$15*12)),(A211-1)+(-F210)/E211,"")</f>
        <v/>
      </c>
      <c r="H211" s="9" t="n">
        <f aca="false">Resultados!$E$38*$B211-Resultados!$F$38*$B211-Premissas!$B$24-Resultados!$E$38*$B211*(Premissas!$B$14/100)</f>
        <v>24432.4</v>
      </c>
      <c r="I211" s="9" t="n">
        <f aca="false">H211-$C211</f>
        <v>24432.4</v>
      </c>
      <c r="J211" s="9" t="n">
        <f aca="false">J210+I211</f>
        <v>4650065.88</v>
      </c>
      <c r="K211" s="37" t="str">
        <f aca="false">IF(AND(J210&lt;0,J211&gt;=0,A211&lt;=MAX(120,Premissas!$B$15*12)),(A211-1)+(-J210)/I211,"")</f>
        <v/>
      </c>
      <c r="L211" s="9" t="n">
        <f aca="false">Resultados!$E$39*$B211-Resultados!$F$39*$B211-Premissas!$B$24-Resultados!$E$39*$B211*(Premissas!$B$14/100)</f>
        <v>29837.8</v>
      </c>
      <c r="M211" s="9" t="n">
        <f aca="false">L211-$C211</f>
        <v>29837.8</v>
      </c>
      <c r="N211" s="9" t="n">
        <f aca="false">N210+M211</f>
        <v>5751145.85999998</v>
      </c>
      <c r="O211" s="37" t="str">
        <f aca="false">IF(AND(N210&lt;0,N211&gt;=0,A211&lt;=MAX(120,Premissas!$B$15*12)),(A211-1)+(-N210)/M211,"")</f>
        <v/>
      </c>
      <c r="P211" s="9" t="n">
        <f aca="false">Resultados!$B$19*$B211-Resultados!$B$20*$B211-Premissas!$B$24-Resultados!$B$19*$B211*(Premissas!$B$14/100)</f>
        <v>24432.4</v>
      </c>
      <c r="Q211" s="9" t="n">
        <f aca="false">P211-$C211</f>
        <v>24432.4</v>
      </c>
      <c r="R211" s="9" t="n">
        <f aca="false">R210+Q211</f>
        <v>4650065.88</v>
      </c>
      <c r="S211" s="37" t="str">
        <f aca="false">IF(AND(R210&lt;0,R211&gt;=0,A211&lt;=MAX(120,Premissas!$B$15*12)),(A211-1)+(-R210)/Q211,"")</f>
        <v/>
      </c>
    </row>
    <row r="212" customFormat="false" ht="15" hidden="false" customHeight="false" outlineLevel="0" collapsed="false">
      <c r="A212" s="10" t="n">
        <f aca="false">A211+1</f>
        <v>208</v>
      </c>
      <c r="B212" s="36" t="n">
        <f aca="false">IF(Premissas!$B$9&lt;=1,1,MIN(1,Premissas!$B$8/100+(1-Premissas!$B$8/100)*(A212-1)/(Premissas!$B$9-1)))</f>
        <v>1</v>
      </c>
      <c r="C212" s="9" t="n">
        <f aca="false">IF(A212&lt;=Resultados!$B$9,Resultados!$B$10,0)</f>
        <v>0</v>
      </c>
      <c r="D212" s="9" t="n">
        <f aca="false">Resultados!$E$37*$B212-Resultados!$F$37*$B212-Premissas!$B$24-Resultados!$E$37*$B212*(Premissas!$B$14/100)</f>
        <v>19027</v>
      </c>
      <c r="E212" s="9" t="n">
        <f aca="false">D212-$C212</f>
        <v>19027</v>
      </c>
      <c r="F212" s="9" t="n">
        <f aca="false">F211+E212</f>
        <v>3568012.9</v>
      </c>
      <c r="G212" s="37" t="str">
        <f aca="false">IF(AND(F211&lt;0,F212&gt;=0,A212&lt;=MAX(120,Premissas!$B$15*12)),(A212-1)+(-F211)/E212,"")</f>
        <v/>
      </c>
      <c r="H212" s="9" t="n">
        <f aca="false">Resultados!$E$38*$B212-Resultados!$F$38*$B212-Premissas!$B$24-Resultados!$E$38*$B212*(Premissas!$B$14/100)</f>
        <v>24432.4</v>
      </c>
      <c r="I212" s="9" t="n">
        <f aca="false">H212-$C212</f>
        <v>24432.4</v>
      </c>
      <c r="J212" s="9" t="n">
        <f aca="false">J211+I212</f>
        <v>4674498.28</v>
      </c>
      <c r="K212" s="37" t="str">
        <f aca="false">IF(AND(J211&lt;0,J212&gt;=0,A212&lt;=MAX(120,Premissas!$B$15*12)),(A212-1)+(-J211)/I212,"")</f>
        <v/>
      </c>
      <c r="L212" s="9" t="n">
        <f aca="false">Resultados!$E$39*$B212-Resultados!$F$39*$B212-Premissas!$B$24-Resultados!$E$39*$B212*(Premissas!$B$14/100)</f>
        <v>29837.8</v>
      </c>
      <c r="M212" s="9" t="n">
        <f aca="false">L212-$C212</f>
        <v>29837.8</v>
      </c>
      <c r="N212" s="9" t="n">
        <f aca="false">N211+M212</f>
        <v>5780983.65999998</v>
      </c>
      <c r="O212" s="37" t="str">
        <f aca="false">IF(AND(N211&lt;0,N212&gt;=0,A212&lt;=MAX(120,Premissas!$B$15*12)),(A212-1)+(-N211)/M212,"")</f>
        <v/>
      </c>
      <c r="P212" s="9" t="n">
        <f aca="false">Resultados!$B$19*$B212-Resultados!$B$20*$B212-Premissas!$B$24-Resultados!$B$19*$B212*(Premissas!$B$14/100)</f>
        <v>24432.4</v>
      </c>
      <c r="Q212" s="9" t="n">
        <f aca="false">P212-$C212</f>
        <v>24432.4</v>
      </c>
      <c r="R212" s="9" t="n">
        <f aca="false">R211+Q212</f>
        <v>4674498.28</v>
      </c>
      <c r="S212" s="37" t="str">
        <f aca="false">IF(AND(R211&lt;0,R212&gt;=0,A212&lt;=MAX(120,Premissas!$B$15*12)),(A212-1)+(-R211)/Q212,"")</f>
        <v/>
      </c>
    </row>
    <row r="213" customFormat="false" ht="15" hidden="false" customHeight="false" outlineLevel="0" collapsed="false">
      <c r="A213" s="10" t="n">
        <f aca="false">A212+1</f>
        <v>209</v>
      </c>
      <c r="B213" s="36" t="n">
        <f aca="false">IF(Premissas!$B$9&lt;=1,1,MIN(1,Premissas!$B$8/100+(1-Premissas!$B$8/100)*(A213-1)/(Premissas!$B$9-1)))</f>
        <v>1</v>
      </c>
      <c r="C213" s="9" t="n">
        <f aca="false">IF(A213&lt;=Resultados!$B$9,Resultados!$B$10,0)</f>
        <v>0</v>
      </c>
      <c r="D213" s="9" t="n">
        <f aca="false">Resultados!$E$37*$B213-Resultados!$F$37*$B213-Premissas!$B$24-Resultados!$E$37*$B213*(Premissas!$B$14/100)</f>
        <v>19027</v>
      </c>
      <c r="E213" s="9" t="n">
        <f aca="false">D213-$C213</f>
        <v>19027</v>
      </c>
      <c r="F213" s="9" t="n">
        <f aca="false">F212+E213</f>
        <v>3587039.9</v>
      </c>
      <c r="G213" s="37" t="str">
        <f aca="false">IF(AND(F212&lt;0,F213&gt;=0,A213&lt;=MAX(120,Premissas!$B$15*12)),(A213-1)+(-F212)/E213,"")</f>
        <v/>
      </c>
      <c r="H213" s="9" t="n">
        <f aca="false">Resultados!$E$38*$B213-Resultados!$F$38*$B213-Premissas!$B$24-Resultados!$E$38*$B213*(Premissas!$B$14/100)</f>
        <v>24432.4</v>
      </c>
      <c r="I213" s="9" t="n">
        <f aca="false">H213-$C213</f>
        <v>24432.4</v>
      </c>
      <c r="J213" s="9" t="n">
        <f aca="false">J212+I213</f>
        <v>4698930.68</v>
      </c>
      <c r="K213" s="37" t="str">
        <f aca="false">IF(AND(J212&lt;0,J213&gt;=0,A213&lt;=MAX(120,Premissas!$B$15*12)),(A213-1)+(-J212)/I213,"")</f>
        <v/>
      </c>
      <c r="L213" s="9" t="n">
        <f aca="false">Resultados!$E$39*$B213-Resultados!$F$39*$B213-Premissas!$B$24-Resultados!$E$39*$B213*(Premissas!$B$14/100)</f>
        <v>29837.8</v>
      </c>
      <c r="M213" s="9" t="n">
        <f aca="false">L213-$C213</f>
        <v>29837.8</v>
      </c>
      <c r="N213" s="9" t="n">
        <f aca="false">N212+M213</f>
        <v>5810821.45999998</v>
      </c>
      <c r="O213" s="37" t="str">
        <f aca="false">IF(AND(N212&lt;0,N213&gt;=0,A213&lt;=MAX(120,Premissas!$B$15*12)),(A213-1)+(-N212)/M213,"")</f>
        <v/>
      </c>
      <c r="P213" s="9" t="n">
        <f aca="false">Resultados!$B$19*$B213-Resultados!$B$20*$B213-Premissas!$B$24-Resultados!$B$19*$B213*(Premissas!$B$14/100)</f>
        <v>24432.4</v>
      </c>
      <c r="Q213" s="9" t="n">
        <f aca="false">P213-$C213</f>
        <v>24432.4</v>
      </c>
      <c r="R213" s="9" t="n">
        <f aca="false">R212+Q213</f>
        <v>4698930.68</v>
      </c>
      <c r="S213" s="37" t="str">
        <f aca="false">IF(AND(R212&lt;0,R213&gt;=0,A213&lt;=MAX(120,Premissas!$B$15*12)),(A213-1)+(-R212)/Q213,"")</f>
        <v/>
      </c>
    </row>
    <row r="214" customFormat="false" ht="15" hidden="false" customHeight="false" outlineLevel="0" collapsed="false">
      <c r="A214" s="10" t="n">
        <f aca="false">A213+1</f>
        <v>210</v>
      </c>
      <c r="B214" s="36" t="n">
        <f aca="false">IF(Premissas!$B$9&lt;=1,1,MIN(1,Premissas!$B$8/100+(1-Premissas!$B$8/100)*(A214-1)/(Premissas!$B$9-1)))</f>
        <v>1</v>
      </c>
      <c r="C214" s="9" t="n">
        <f aca="false">IF(A214&lt;=Resultados!$B$9,Resultados!$B$10,0)</f>
        <v>0</v>
      </c>
      <c r="D214" s="9" t="n">
        <f aca="false">Resultados!$E$37*$B214-Resultados!$F$37*$B214-Premissas!$B$24-Resultados!$E$37*$B214*(Premissas!$B$14/100)</f>
        <v>19027</v>
      </c>
      <c r="E214" s="9" t="n">
        <f aca="false">D214-$C214</f>
        <v>19027</v>
      </c>
      <c r="F214" s="9" t="n">
        <f aca="false">F213+E214</f>
        <v>3606066.9</v>
      </c>
      <c r="G214" s="37" t="str">
        <f aca="false">IF(AND(F213&lt;0,F214&gt;=0,A214&lt;=MAX(120,Premissas!$B$15*12)),(A214-1)+(-F213)/E214,"")</f>
        <v/>
      </c>
      <c r="H214" s="9" t="n">
        <f aca="false">Resultados!$E$38*$B214-Resultados!$F$38*$B214-Premissas!$B$24-Resultados!$E$38*$B214*(Premissas!$B$14/100)</f>
        <v>24432.4</v>
      </c>
      <c r="I214" s="9" t="n">
        <f aca="false">H214-$C214</f>
        <v>24432.4</v>
      </c>
      <c r="J214" s="9" t="n">
        <f aca="false">J213+I214</f>
        <v>4723363.08</v>
      </c>
      <c r="K214" s="37" t="str">
        <f aca="false">IF(AND(J213&lt;0,J214&gt;=0,A214&lt;=MAX(120,Premissas!$B$15*12)),(A214-1)+(-J213)/I214,"")</f>
        <v/>
      </c>
      <c r="L214" s="9" t="n">
        <f aca="false">Resultados!$E$39*$B214-Resultados!$F$39*$B214-Premissas!$B$24-Resultados!$E$39*$B214*(Premissas!$B$14/100)</f>
        <v>29837.8</v>
      </c>
      <c r="M214" s="9" t="n">
        <f aca="false">L214-$C214</f>
        <v>29837.8</v>
      </c>
      <c r="N214" s="9" t="n">
        <f aca="false">N213+M214</f>
        <v>5840659.25999998</v>
      </c>
      <c r="O214" s="37" t="str">
        <f aca="false">IF(AND(N213&lt;0,N214&gt;=0,A214&lt;=MAX(120,Premissas!$B$15*12)),(A214-1)+(-N213)/M214,"")</f>
        <v/>
      </c>
      <c r="P214" s="9" t="n">
        <f aca="false">Resultados!$B$19*$B214-Resultados!$B$20*$B214-Premissas!$B$24-Resultados!$B$19*$B214*(Premissas!$B$14/100)</f>
        <v>24432.4</v>
      </c>
      <c r="Q214" s="9" t="n">
        <f aca="false">P214-$C214</f>
        <v>24432.4</v>
      </c>
      <c r="R214" s="9" t="n">
        <f aca="false">R213+Q214</f>
        <v>4723363.08</v>
      </c>
      <c r="S214" s="37" t="str">
        <f aca="false">IF(AND(R213&lt;0,R214&gt;=0,A214&lt;=MAX(120,Premissas!$B$15*12)),(A214-1)+(-R213)/Q214,"")</f>
        <v/>
      </c>
    </row>
    <row r="215" customFormat="false" ht="15" hidden="false" customHeight="false" outlineLevel="0" collapsed="false">
      <c r="A215" s="10" t="n">
        <f aca="false">A214+1</f>
        <v>211</v>
      </c>
      <c r="B215" s="36" t="n">
        <f aca="false">IF(Premissas!$B$9&lt;=1,1,MIN(1,Premissas!$B$8/100+(1-Premissas!$B$8/100)*(A215-1)/(Premissas!$B$9-1)))</f>
        <v>1</v>
      </c>
      <c r="C215" s="9" t="n">
        <f aca="false">IF(A215&lt;=Resultados!$B$9,Resultados!$B$10,0)</f>
        <v>0</v>
      </c>
      <c r="D215" s="9" t="n">
        <f aca="false">Resultados!$E$37*$B215-Resultados!$F$37*$B215-Premissas!$B$24-Resultados!$E$37*$B215*(Premissas!$B$14/100)</f>
        <v>19027</v>
      </c>
      <c r="E215" s="9" t="n">
        <f aca="false">D215-$C215</f>
        <v>19027</v>
      </c>
      <c r="F215" s="9" t="n">
        <f aca="false">F214+E215</f>
        <v>3625093.9</v>
      </c>
      <c r="G215" s="37" t="str">
        <f aca="false">IF(AND(F214&lt;0,F215&gt;=0,A215&lt;=MAX(120,Premissas!$B$15*12)),(A215-1)+(-F214)/E215,"")</f>
        <v/>
      </c>
      <c r="H215" s="9" t="n">
        <f aca="false">Resultados!$E$38*$B215-Resultados!$F$38*$B215-Premissas!$B$24-Resultados!$E$38*$B215*(Premissas!$B$14/100)</f>
        <v>24432.4</v>
      </c>
      <c r="I215" s="9" t="n">
        <f aca="false">H215-$C215</f>
        <v>24432.4</v>
      </c>
      <c r="J215" s="9" t="n">
        <f aca="false">J214+I215</f>
        <v>4747795.48</v>
      </c>
      <c r="K215" s="37" t="str">
        <f aca="false">IF(AND(J214&lt;0,J215&gt;=0,A215&lt;=MAX(120,Premissas!$B$15*12)),(A215-1)+(-J214)/I215,"")</f>
        <v/>
      </c>
      <c r="L215" s="9" t="n">
        <f aca="false">Resultados!$E$39*$B215-Resultados!$F$39*$B215-Premissas!$B$24-Resultados!$E$39*$B215*(Premissas!$B$14/100)</f>
        <v>29837.8</v>
      </c>
      <c r="M215" s="9" t="n">
        <f aca="false">L215-$C215</f>
        <v>29837.8</v>
      </c>
      <c r="N215" s="9" t="n">
        <f aca="false">N214+M215</f>
        <v>5870497.05999998</v>
      </c>
      <c r="O215" s="37" t="str">
        <f aca="false">IF(AND(N214&lt;0,N215&gt;=0,A215&lt;=MAX(120,Premissas!$B$15*12)),(A215-1)+(-N214)/M215,"")</f>
        <v/>
      </c>
      <c r="P215" s="9" t="n">
        <f aca="false">Resultados!$B$19*$B215-Resultados!$B$20*$B215-Premissas!$B$24-Resultados!$B$19*$B215*(Premissas!$B$14/100)</f>
        <v>24432.4</v>
      </c>
      <c r="Q215" s="9" t="n">
        <f aca="false">P215-$C215</f>
        <v>24432.4</v>
      </c>
      <c r="R215" s="9" t="n">
        <f aca="false">R214+Q215</f>
        <v>4747795.48</v>
      </c>
      <c r="S215" s="37" t="str">
        <f aca="false">IF(AND(R214&lt;0,R215&gt;=0,A215&lt;=MAX(120,Premissas!$B$15*12)),(A215-1)+(-R214)/Q215,"")</f>
        <v/>
      </c>
    </row>
    <row r="216" customFormat="false" ht="15" hidden="false" customHeight="false" outlineLevel="0" collapsed="false">
      <c r="A216" s="10" t="n">
        <f aca="false">A215+1</f>
        <v>212</v>
      </c>
      <c r="B216" s="36" t="n">
        <f aca="false">IF(Premissas!$B$9&lt;=1,1,MIN(1,Premissas!$B$8/100+(1-Premissas!$B$8/100)*(A216-1)/(Premissas!$B$9-1)))</f>
        <v>1</v>
      </c>
      <c r="C216" s="9" t="n">
        <f aca="false">IF(A216&lt;=Resultados!$B$9,Resultados!$B$10,0)</f>
        <v>0</v>
      </c>
      <c r="D216" s="9" t="n">
        <f aca="false">Resultados!$E$37*$B216-Resultados!$F$37*$B216-Premissas!$B$24-Resultados!$E$37*$B216*(Premissas!$B$14/100)</f>
        <v>19027</v>
      </c>
      <c r="E216" s="9" t="n">
        <f aca="false">D216-$C216</f>
        <v>19027</v>
      </c>
      <c r="F216" s="9" t="n">
        <f aca="false">F215+E216</f>
        <v>3644120.9</v>
      </c>
      <c r="G216" s="37" t="str">
        <f aca="false">IF(AND(F215&lt;0,F216&gt;=0,A216&lt;=MAX(120,Premissas!$B$15*12)),(A216-1)+(-F215)/E216,"")</f>
        <v/>
      </c>
      <c r="H216" s="9" t="n">
        <f aca="false">Resultados!$E$38*$B216-Resultados!$F$38*$B216-Premissas!$B$24-Resultados!$E$38*$B216*(Premissas!$B$14/100)</f>
        <v>24432.4</v>
      </c>
      <c r="I216" s="9" t="n">
        <f aca="false">H216-$C216</f>
        <v>24432.4</v>
      </c>
      <c r="J216" s="9" t="n">
        <f aca="false">J215+I216</f>
        <v>4772227.88</v>
      </c>
      <c r="K216" s="37" t="str">
        <f aca="false">IF(AND(J215&lt;0,J216&gt;=0,A216&lt;=MAX(120,Premissas!$B$15*12)),(A216-1)+(-J215)/I216,"")</f>
        <v/>
      </c>
      <c r="L216" s="9" t="n">
        <f aca="false">Resultados!$E$39*$B216-Resultados!$F$39*$B216-Premissas!$B$24-Resultados!$E$39*$B216*(Premissas!$B$14/100)</f>
        <v>29837.8</v>
      </c>
      <c r="M216" s="9" t="n">
        <f aca="false">L216-$C216</f>
        <v>29837.8</v>
      </c>
      <c r="N216" s="9" t="n">
        <f aca="false">N215+M216</f>
        <v>5900334.85999998</v>
      </c>
      <c r="O216" s="37" t="str">
        <f aca="false">IF(AND(N215&lt;0,N216&gt;=0,A216&lt;=MAX(120,Premissas!$B$15*12)),(A216-1)+(-N215)/M216,"")</f>
        <v/>
      </c>
      <c r="P216" s="9" t="n">
        <f aca="false">Resultados!$B$19*$B216-Resultados!$B$20*$B216-Premissas!$B$24-Resultados!$B$19*$B216*(Premissas!$B$14/100)</f>
        <v>24432.4</v>
      </c>
      <c r="Q216" s="9" t="n">
        <f aca="false">P216-$C216</f>
        <v>24432.4</v>
      </c>
      <c r="R216" s="9" t="n">
        <f aca="false">R215+Q216</f>
        <v>4772227.88</v>
      </c>
      <c r="S216" s="37" t="str">
        <f aca="false">IF(AND(R215&lt;0,R216&gt;=0,A216&lt;=MAX(120,Premissas!$B$15*12)),(A216-1)+(-R215)/Q216,"")</f>
        <v/>
      </c>
    </row>
    <row r="217" customFormat="false" ht="15" hidden="false" customHeight="false" outlineLevel="0" collapsed="false">
      <c r="A217" s="10" t="n">
        <f aca="false">A216+1</f>
        <v>213</v>
      </c>
      <c r="B217" s="36" t="n">
        <f aca="false">IF(Premissas!$B$9&lt;=1,1,MIN(1,Premissas!$B$8/100+(1-Premissas!$B$8/100)*(A217-1)/(Premissas!$B$9-1)))</f>
        <v>1</v>
      </c>
      <c r="C217" s="9" t="n">
        <f aca="false">IF(A217&lt;=Resultados!$B$9,Resultados!$B$10,0)</f>
        <v>0</v>
      </c>
      <c r="D217" s="9" t="n">
        <f aca="false">Resultados!$E$37*$B217-Resultados!$F$37*$B217-Premissas!$B$24-Resultados!$E$37*$B217*(Premissas!$B$14/100)</f>
        <v>19027</v>
      </c>
      <c r="E217" s="9" t="n">
        <f aca="false">D217-$C217</f>
        <v>19027</v>
      </c>
      <c r="F217" s="9" t="n">
        <f aca="false">F216+E217</f>
        <v>3663147.9</v>
      </c>
      <c r="G217" s="37" t="str">
        <f aca="false">IF(AND(F216&lt;0,F217&gt;=0,A217&lt;=MAX(120,Premissas!$B$15*12)),(A217-1)+(-F216)/E217,"")</f>
        <v/>
      </c>
      <c r="H217" s="9" t="n">
        <f aca="false">Resultados!$E$38*$B217-Resultados!$F$38*$B217-Premissas!$B$24-Resultados!$E$38*$B217*(Premissas!$B$14/100)</f>
        <v>24432.4</v>
      </c>
      <c r="I217" s="9" t="n">
        <f aca="false">H217-$C217</f>
        <v>24432.4</v>
      </c>
      <c r="J217" s="9" t="n">
        <f aca="false">J216+I217</f>
        <v>4796660.28</v>
      </c>
      <c r="K217" s="37" t="str">
        <f aca="false">IF(AND(J216&lt;0,J217&gt;=0,A217&lt;=MAX(120,Premissas!$B$15*12)),(A217-1)+(-J216)/I217,"")</f>
        <v/>
      </c>
      <c r="L217" s="9" t="n">
        <f aca="false">Resultados!$E$39*$B217-Resultados!$F$39*$B217-Premissas!$B$24-Resultados!$E$39*$B217*(Premissas!$B$14/100)</f>
        <v>29837.8</v>
      </c>
      <c r="M217" s="9" t="n">
        <f aca="false">L217-$C217</f>
        <v>29837.8</v>
      </c>
      <c r="N217" s="9" t="n">
        <f aca="false">N216+M217</f>
        <v>5930172.65999998</v>
      </c>
      <c r="O217" s="37" t="str">
        <f aca="false">IF(AND(N216&lt;0,N217&gt;=0,A217&lt;=MAX(120,Premissas!$B$15*12)),(A217-1)+(-N216)/M217,"")</f>
        <v/>
      </c>
      <c r="P217" s="9" t="n">
        <f aca="false">Resultados!$B$19*$B217-Resultados!$B$20*$B217-Premissas!$B$24-Resultados!$B$19*$B217*(Premissas!$B$14/100)</f>
        <v>24432.4</v>
      </c>
      <c r="Q217" s="9" t="n">
        <f aca="false">P217-$C217</f>
        <v>24432.4</v>
      </c>
      <c r="R217" s="9" t="n">
        <f aca="false">R216+Q217</f>
        <v>4796660.28</v>
      </c>
      <c r="S217" s="37" t="str">
        <f aca="false">IF(AND(R216&lt;0,R217&gt;=0,A217&lt;=MAX(120,Premissas!$B$15*12)),(A217-1)+(-R216)/Q217,"")</f>
        <v/>
      </c>
    </row>
    <row r="218" customFormat="false" ht="15" hidden="false" customHeight="false" outlineLevel="0" collapsed="false">
      <c r="A218" s="10" t="n">
        <f aca="false">A217+1</f>
        <v>214</v>
      </c>
      <c r="B218" s="36" t="n">
        <f aca="false">IF(Premissas!$B$9&lt;=1,1,MIN(1,Premissas!$B$8/100+(1-Premissas!$B$8/100)*(A218-1)/(Premissas!$B$9-1)))</f>
        <v>1</v>
      </c>
      <c r="C218" s="9" t="n">
        <f aca="false">IF(A218&lt;=Resultados!$B$9,Resultados!$B$10,0)</f>
        <v>0</v>
      </c>
      <c r="D218" s="9" t="n">
        <f aca="false">Resultados!$E$37*$B218-Resultados!$F$37*$B218-Premissas!$B$24-Resultados!$E$37*$B218*(Premissas!$B$14/100)</f>
        <v>19027</v>
      </c>
      <c r="E218" s="9" t="n">
        <f aca="false">D218-$C218</f>
        <v>19027</v>
      </c>
      <c r="F218" s="9" t="n">
        <f aca="false">F217+E218</f>
        <v>3682174.9</v>
      </c>
      <c r="G218" s="37" t="str">
        <f aca="false">IF(AND(F217&lt;0,F218&gt;=0,A218&lt;=MAX(120,Premissas!$B$15*12)),(A218-1)+(-F217)/E218,"")</f>
        <v/>
      </c>
      <c r="H218" s="9" t="n">
        <f aca="false">Resultados!$E$38*$B218-Resultados!$F$38*$B218-Premissas!$B$24-Resultados!$E$38*$B218*(Premissas!$B$14/100)</f>
        <v>24432.4</v>
      </c>
      <c r="I218" s="9" t="n">
        <f aca="false">H218-$C218</f>
        <v>24432.4</v>
      </c>
      <c r="J218" s="9" t="n">
        <f aca="false">J217+I218</f>
        <v>4821092.68</v>
      </c>
      <c r="K218" s="37" t="str">
        <f aca="false">IF(AND(J217&lt;0,J218&gt;=0,A218&lt;=MAX(120,Premissas!$B$15*12)),(A218-1)+(-J217)/I218,"")</f>
        <v/>
      </c>
      <c r="L218" s="9" t="n">
        <f aca="false">Resultados!$E$39*$B218-Resultados!$F$39*$B218-Premissas!$B$24-Resultados!$E$39*$B218*(Premissas!$B$14/100)</f>
        <v>29837.8</v>
      </c>
      <c r="M218" s="9" t="n">
        <f aca="false">L218-$C218</f>
        <v>29837.8</v>
      </c>
      <c r="N218" s="9" t="n">
        <f aca="false">N217+M218</f>
        <v>5960010.45999998</v>
      </c>
      <c r="O218" s="37" t="str">
        <f aca="false">IF(AND(N217&lt;0,N218&gt;=0,A218&lt;=MAX(120,Premissas!$B$15*12)),(A218-1)+(-N217)/M218,"")</f>
        <v/>
      </c>
      <c r="P218" s="9" t="n">
        <f aca="false">Resultados!$B$19*$B218-Resultados!$B$20*$B218-Premissas!$B$24-Resultados!$B$19*$B218*(Premissas!$B$14/100)</f>
        <v>24432.4</v>
      </c>
      <c r="Q218" s="9" t="n">
        <f aca="false">P218-$C218</f>
        <v>24432.4</v>
      </c>
      <c r="R218" s="9" t="n">
        <f aca="false">R217+Q218</f>
        <v>4821092.68</v>
      </c>
      <c r="S218" s="37" t="str">
        <f aca="false">IF(AND(R217&lt;0,R218&gt;=0,A218&lt;=MAX(120,Premissas!$B$15*12)),(A218-1)+(-R217)/Q218,"")</f>
        <v/>
      </c>
    </row>
    <row r="219" customFormat="false" ht="15" hidden="false" customHeight="false" outlineLevel="0" collapsed="false">
      <c r="A219" s="10" t="n">
        <f aca="false">A218+1</f>
        <v>215</v>
      </c>
      <c r="B219" s="36" t="n">
        <f aca="false">IF(Premissas!$B$9&lt;=1,1,MIN(1,Premissas!$B$8/100+(1-Premissas!$B$8/100)*(A219-1)/(Premissas!$B$9-1)))</f>
        <v>1</v>
      </c>
      <c r="C219" s="9" t="n">
        <f aca="false">IF(A219&lt;=Resultados!$B$9,Resultados!$B$10,0)</f>
        <v>0</v>
      </c>
      <c r="D219" s="9" t="n">
        <f aca="false">Resultados!$E$37*$B219-Resultados!$F$37*$B219-Premissas!$B$24-Resultados!$E$37*$B219*(Premissas!$B$14/100)</f>
        <v>19027</v>
      </c>
      <c r="E219" s="9" t="n">
        <f aca="false">D219-$C219</f>
        <v>19027</v>
      </c>
      <c r="F219" s="9" t="n">
        <f aca="false">F218+E219</f>
        <v>3701201.9</v>
      </c>
      <c r="G219" s="37" t="str">
        <f aca="false">IF(AND(F218&lt;0,F219&gt;=0,A219&lt;=MAX(120,Premissas!$B$15*12)),(A219-1)+(-F218)/E219,"")</f>
        <v/>
      </c>
      <c r="H219" s="9" t="n">
        <f aca="false">Resultados!$E$38*$B219-Resultados!$F$38*$B219-Premissas!$B$24-Resultados!$E$38*$B219*(Premissas!$B$14/100)</f>
        <v>24432.4</v>
      </c>
      <c r="I219" s="9" t="n">
        <f aca="false">H219-$C219</f>
        <v>24432.4</v>
      </c>
      <c r="J219" s="9" t="n">
        <f aca="false">J218+I219</f>
        <v>4845525.08</v>
      </c>
      <c r="K219" s="37" t="str">
        <f aca="false">IF(AND(J218&lt;0,J219&gt;=0,A219&lt;=MAX(120,Premissas!$B$15*12)),(A219-1)+(-J218)/I219,"")</f>
        <v/>
      </c>
      <c r="L219" s="9" t="n">
        <f aca="false">Resultados!$E$39*$B219-Resultados!$F$39*$B219-Premissas!$B$24-Resultados!$E$39*$B219*(Premissas!$B$14/100)</f>
        <v>29837.8</v>
      </c>
      <c r="M219" s="9" t="n">
        <f aca="false">L219-$C219</f>
        <v>29837.8</v>
      </c>
      <c r="N219" s="9" t="n">
        <f aca="false">N218+M219</f>
        <v>5989848.25999998</v>
      </c>
      <c r="O219" s="37" t="str">
        <f aca="false">IF(AND(N218&lt;0,N219&gt;=0,A219&lt;=MAX(120,Premissas!$B$15*12)),(A219-1)+(-N218)/M219,"")</f>
        <v/>
      </c>
      <c r="P219" s="9" t="n">
        <f aca="false">Resultados!$B$19*$B219-Resultados!$B$20*$B219-Premissas!$B$24-Resultados!$B$19*$B219*(Premissas!$B$14/100)</f>
        <v>24432.4</v>
      </c>
      <c r="Q219" s="9" t="n">
        <f aca="false">P219-$C219</f>
        <v>24432.4</v>
      </c>
      <c r="R219" s="9" t="n">
        <f aca="false">R218+Q219</f>
        <v>4845525.08</v>
      </c>
      <c r="S219" s="37" t="str">
        <f aca="false">IF(AND(R218&lt;0,R219&gt;=0,A219&lt;=MAX(120,Premissas!$B$15*12)),(A219-1)+(-R218)/Q219,"")</f>
        <v/>
      </c>
    </row>
    <row r="220" customFormat="false" ht="15" hidden="false" customHeight="false" outlineLevel="0" collapsed="false">
      <c r="A220" s="10" t="n">
        <f aca="false">A219+1</f>
        <v>216</v>
      </c>
      <c r="B220" s="36" t="n">
        <f aca="false">IF(Premissas!$B$9&lt;=1,1,MIN(1,Premissas!$B$8/100+(1-Premissas!$B$8/100)*(A220-1)/(Premissas!$B$9-1)))</f>
        <v>1</v>
      </c>
      <c r="C220" s="9" t="n">
        <f aca="false">IF(A220&lt;=Resultados!$B$9,Resultados!$B$10,0)</f>
        <v>0</v>
      </c>
      <c r="D220" s="9" t="n">
        <f aca="false">Resultados!$E$37*$B220-Resultados!$F$37*$B220-Premissas!$B$24-Resultados!$E$37*$B220*(Premissas!$B$14/100)</f>
        <v>19027</v>
      </c>
      <c r="E220" s="9" t="n">
        <f aca="false">D220-$C220</f>
        <v>19027</v>
      </c>
      <c r="F220" s="9" t="n">
        <f aca="false">F219+E220</f>
        <v>3720228.9</v>
      </c>
      <c r="G220" s="37" t="str">
        <f aca="false">IF(AND(F219&lt;0,F220&gt;=0,A220&lt;=MAX(120,Premissas!$B$15*12)),(A220-1)+(-F219)/E220,"")</f>
        <v/>
      </c>
      <c r="H220" s="9" t="n">
        <f aca="false">Resultados!$E$38*$B220-Resultados!$F$38*$B220-Premissas!$B$24-Resultados!$E$38*$B220*(Premissas!$B$14/100)</f>
        <v>24432.4</v>
      </c>
      <c r="I220" s="9" t="n">
        <f aca="false">H220-$C220</f>
        <v>24432.4</v>
      </c>
      <c r="J220" s="9" t="n">
        <f aca="false">J219+I220</f>
        <v>4869957.48</v>
      </c>
      <c r="K220" s="37" t="str">
        <f aca="false">IF(AND(J219&lt;0,J220&gt;=0,A220&lt;=MAX(120,Premissas!$B$15*12)),(A220-1)+(-J219)/I220,"")</f>
        <v/>
      </c>
      <c r="L220" s="9" t="n">
        <f aca="false">Resultados!$E$39*$B220-Resultados!$F$39*$B220-Premissas!$B$24-Resultados!$E$39*$B220*(Premissas!$B$14/100)</f>
        <v>29837.8</v>
      </c>
      <c r="M220" s="9" t="n">
        <f aca="false">L220-$C220</f>
        <v>29837.8</v>
      </c>
      <c r="N220" s="9" t="n">
        <f aca="false">N219+M220</f>
        <v>6019686.05999998</v>
      </c>
      <c r="O220" s="37" t="str">
        <f aca="false">IF(AND(N219&lt;0,N220&gt;=0,A220&lt;=MAX(120,Premissas!$B$15*12)),(A220-1)+(-N219)/M220,"")</f>
        <v/>
      </c>
      <c r="P220" s="9" t="n">
        <f aca="false">Resultados!$B$19*$B220-Resultados!$B$20*$B220-Premissas!$B$24-Resultados!$B$19*$B220*(Premissas!$B$14/100)</f>
        <v>24432.4</v>
      </c>
      <c r="Q220" s="9" t="n">
        <f aca="false">P220-$C220</f>
        <v>24432.4</v>
      </c>
      <c r="R220" s="9" t="n">
        <f aca="false">R219+Q220</f>
        <v>4869957.48</v>
      </c>
      <c r="S220" s="37" t="str">
        <f aca="false">IF(AND(R219&lt;0,R220&gt;=0,A220&lt;=MAX(120,Premissas!$B$15*12)),(A220-1)+(-R219)/Q220,"")</f>
        <v/>
      </c>
    </row>
    <row r="221" customFormat="false" ht="15" hidden="false" customHeight="false" outlineLevel="0" collapsed="false">
      <c r="A221" s="10" t="n">
        <f aca="false">A220+1</f>
        <v>217</v>
      </c>
      <c r="B221" s="36" t="n">
        <f aca="false">IF(Premissas!$B$9&lt;=1,1,MIN(1,Premissas!$B$8/100+(1-Premissas!$B$8/100)*(A221-1)/(Premissas!$B$9-1)))</f>
        <v>1</v>
      </c>
      <c r="C221" s="9" t="n">
        <f aca="false">IF(A221&lt;=Resultados!$B$9,Resultados!$B$10,0)</f>
        <v>0</v>
      </c>
      <c r="D221" s="9" t="n">
        <f aca="false">Resultados!$E$37*$B221-Resultados!$F$37*$B221-Premissas!$B$24-Resultados!$E$37*$B221*(Premissas!$B$14/100)</f>
        <v>19027</v>
      </c>
      <c r="E221" s="9" t="n">
        <f aca="false">D221-$C221</f>
        <v>19027</v>
      </c>
      <c r="F221" s="9" t="n">
        <f aca="false">F220+E221</f>
        <v>3739255.9</v>
      </c>
      <c r="G221" s="37" t="str">
        <f aca="false">IF(AND(F220&lt;0,F221&gt;=0,A221&lt;=MAX(120,Premissas!$B$15*12)),(A221-1)+(-F220)/E221,"")</f>
        <v/>
      </c>
      <c r="H221" s="9" t="n">
        <f aca="false">Resultados!$E$38*$B221-Resultados!$F$38*$B221-Premissas!$B$24-Resultados!$E$38*$B221*(Premissas!$B$14/100)</f>
        <v>24432.4</v>
      </c>
      <c r="I221" s="9" t="n">
        <f aca="false">H221-$C221</f>
        <v>24432.4</v>
      </c>
      <c r="J221" s="9" t="n">
        <f aca="false">J220+I221</f>
        <v>4894389.88</v>
      </c>
      <c r="K221" s="37" t="str">
        <f aca="false">IF(AND(J220&lt;0,J221&gt;=0,A221&lt;=MAX(120,Premissas!$B$15*12)),(A221-1)+(-J220)/I221,"")</f>
        <v/>
      </c>
      <c r="L221" s="9" t="n">
        <f aca="false">Resultados!$E$39*$B221-Resultados!$F$39*$B221-Premissas!$B$24-Resultados!$E$39*$B221*(Premissas!$B$14/100)</f>
        <v>29837.8</v>
      </c>
      <c r="M221" s="9" t="n">
        <f aca="false">L221-$C221</f>
        <v>29837.8</v>
      </c>
      <c r="N221" s="9" t="n">
        <f aca="false">N220+M221</f>
        <v>6049523.85999998</v>
      </c>
      <c r="O221" s="37" t="str">
        <f aca="false">IF(AND(N220&lt;0,N221&gt;=0,A221&lt;=MAX(120,Premissas!$B$15*12)),(A221-1)+(-N220)/M221,"")</f>
        <v/>
      </c>
      <c r="P221" s="9" t="n">
        <f aca="false">Resultados!$B$19*$B221-Resultados!$B$20*$B221-Premissas!$B$24-Resultados!$B$19*$B221*(Premissas!$B$14/100)</f>
        <v>24432.4</v>
      </c>
      <c r="Q221" s="9" t="n">
        <f aca="false">P221-$C221</f>
        <v>24432.4</v>
      </c>
      <c r="R221" s="9" t="n">
        <f aca="false">R220+Q221</f>
        <v>4894389.88</v>
      </c>
      <c r="S221" s="37" t="str">
        <f aca="false">IF(AND(R220&lt;0,R221&gt;=0,A221&lt;=MAX(120,Premissas!$B$15*12)),(A221-1)+(-R220)/Q221,"")</f>
        <v/>
      </c>
    </row>
    <row r="222" customFormat="false" ht="15" hidden="false" customHeight="false" outlineLevel="0" collapsed="false">
      <c r="A222" s="10" t="n">
        <f aca="false">A221+1</f>
        <v>218</v>
      </c>
      <c r="B222" s="36" t="n">
        <f aca="false">IF(Premissas!$B$9&lt;=1,1,MIN(1,Premissas!$B$8/100+(1-Premissas!$B$8/100)*(A222-1)/(Premissas!$B$9-1)))</f>
        <v>1</v>
      </c>
      <c r="C222" s="9" t="n">
        <f aca="false">IF(A222&lt;=Resultados!$B$9,Resultados!$B$10,0)</f>
        <v>0</v>
      </c>
      <c r="D222" s="9" t="n">
        <f aca="false">Resultados!$E$37*$B222-Resultados!$F$37*$B222-Premissas!$B$24-Resultados!$E$37*$B222*(Premissas!$B$14/100)</f>
        <v>19027</v>
      </c>
      <c r="E222" s="9" t="n">
        <f aca="false">D222-$C222</f>
        <v>19027</v>
      </c>
      <c r="F222" s="9" t="n">
        <f aca="false">F221+E222</f>
        <v>3758282.9</v>
      </c>
      <c r="G222" s="37" t="str">
        <f aca="false">IF(AND(F221&lt;0,F222&gt;=0,A222&lt;=MAX(120,Premissas!$B$15*12)),(A222-1)+(-F221)/E222,"")</f>
        <v/>
      </c>
      <c r="H222" s="9" t="n">
        <f aca="false">Resultados!$E$38*$B222-Resultados!$F$38*$B222-Premissas!$B$24-Resultados!$E$38*$B222*(Premissas!$B$14/100)</f>
        <v>24432.4</v>
      </c>
      <c r="I222" s="9" t="n">
        <f aca="false">H222-$C222</f>
        <v>24432.4</v>
      </c>
      <c r="J222" s="9" t="n">
        <f aca="false">J221+I222</f>
        <v>4918822.28</v>
      </c>
      <c r="K222" s="37" t="str">
        <f aca="false">IF(AND(J221&lt;0,J222&gt;=0,A222&lt;=MAX(120,Premissas!$B$15*12)),(A222-1)+(-J221)/I222,"")</f>
        <v/>
      </c>
      <c r="L222" s="9" t="n">
        <f aca="false">Resultados!$E$39*$B222-Resultados!$F$39*$B222-Premissas!$B$24-Resultados!$E$39*$B222*(Premissas!$B$14/100)</f>
        <v>29837.8</v>
      </c>
      <c r="M222" s="9" t="n">
        <f aca="false">L222-$C222</f>
        <v>29837.8</v>
      </c>
      <c r="N222" s="9" t="n">
        <f aca="false">N221+M222</f>
        <v>6079361.65999998</v>
      </c>
      <c r="O222" s="37" t="str">
        <f aca="false">IF(AND(N221&lt;0,N222&gt;=0,A222&lt;=MAX(120,Premissas!$B$15*12)),(A222-1)+(-N221)/M222,"")</f>
        <v/>
      </c>
      <c r="P222" s="9" t="n">
        <f aca="false">Resultados!$B$19*$B222-Resultados!$B$20*$B222-Premissas!$B$24-Resultados!$B$19*$B222*(Premissas!$B$14/100)</f>
        <v>24432.4</v>
      </c>
      <c r="Q222" s="9" t="n">
        <f aca="false">P222-$C222</f>
        <v>24432.4</v>
      </c>
      <c r="R222" s="9" t="n">
        <f aca="false">R221+Q222</f>
        <v>4918822.28</v>
      </c>
      <c r="S222" s="37" t="str">
        <f aca="false">IF(AND(R221&lt;0,R222&gt;=0,A222&lt;=MAX(120,Premissas!$B$15*12)),(A222-1)+(-R221)/Q222,"")</f>
        <v/>
      </c>
    </row>
    <row r="223" customFormat="false" ht="15" hidden="false" customHeight="false" outlineLevel="0" collapsed="false">
      <c r="A223" s="10" t="n">
        <f aca="false">A222+1</f>
        <v>219</v>
      </c>
      <c r="B223" s="36" t="n">
        <f aca="false">IF(Premissas!$B$9&lt;=1,1,MIN(1,Premissas!$B$8/100+(1-Premissas!$B$8/100)*(A223-1)/(Premissas!$B$9-1)))</f>
        <v>1</v>
      </c>
      <c r="C223" s="9" t="n">
        <f aca="false">IF(A223&lt;=Resultados!$B$9,Resultados!$B$10,0)</f>
        <v>0</v>
      </c>
      <c r="D223" s="9" t="n">
        <f aca="false">Resultados!$E$37*$B223-Resultados!$F$37*$B223-Premissas!$B$24-Resultados!$E$37*$B223*(Premissas!$B$14/100)</f>
        <v>19027</v>
      </c>
      <c r="E223" s="9" t="n">
        <f aca="false">D223-$C223</f>
        <v>19027</v>
      </c>
      <c r="F223" s="9" t="n">
        <f aca="false">F222+E223</f>
        <v>3777309.9</v>
      </c>
      <c r="G223" s="37" t="str">
        <f aca="false">IF(AND(F222&lt;0,F223&gt;=0,A223&lt;=MAX(120,Premissas!$B$15*12)),(A223-1)+(-F222)/E223,"")</f>
        <v/>
      </c>
      <c r="H223" s="9" t="n">
        <f aca="false">Resultados!$E$38*$B223-Resultados!$F$38*$B223-Premissas!$B$24-Resultados!$E$38*$B223*(Premissas!$B$14/100)</f>
        <v>24432.4</v>
      </c>
      <c r="I223" s="9" t="n">
        <f aca="false">H223-$C223</f>
        <v>24432.4</v>
      </c>
      <c r="J223" s="9" t="n">
        <f aca="false">J222+I223</f>
        <v>4943254.68</v>
      </c>
      <c r="K223" s="37" t="str">
        <f aca="false">IF(AND(J222&lt;0,J223&gt;=0,A223&lt;=MAX(120,Premissas!$B$15*12)),(A223-1)+(-J222)/I223,"")</f>
        <v/>
      </c>
      <c r="L223" s="9" t="n">
        <f aca="false">Resultados!$E$39*$B223-Resultados!$F$39*$B223-Premissas!$B$24-Resultados!$E$39*$B223*(Premissas!$B$14/100)</f>
        <v>29837.8</v>
      </c>
      <c r="M223" s="9" t="n">
        <f aca="false">L223-$C223</f>
        <v>29837.8</v>
      </c>
      <c r="N223" s="9" t="n">
        <f aca="false">N222+M223</f>
        <v>6109199.45999998</v>
      </c>
      <c r="O223" s="37" t="str">
        <f aca="false">IF(AND(N222&lt;0,N223&gt;=0,A223&lt;=MAX(120,Premissas!$B$15*12)),(A223-1)+(-N222)/M223,"")</f>
        <v/>
      </c>
      <c r="P223" s="9" t="n">
        <f aca="false">Resultados!$B$19*$B223-Resultados!$B$20*$B223-Premissas!$B$24-Resultados!$B$19*$B223*(Premissas!$B$14/100)</f>
        <v>24432.4</v>
      </c>
      <c r="Q223" s="9" t="n">
        <f aca="false">P223-$C223</f>
        <v>24432.4</v>
      </c>
      <c r="R223" s="9" t="n">
        <f aca="false">R222+Q223</f>
        <v>4943254.68</v>
      </c>
      <c r="S223" s="37" t="str">
        <f aca="false">IF(AND(R222&lt;0,R223&gt;=0,A223&lt;=MAX(120,Premissas!$B$15*12)),(A223-1)+(-R222)/Q223,"")</f>
        <v/>
      </c>
    </row>
    <row r="224" customFormat="false" ht="15" hidden="false" customHeight="false" outlineLevel="0" collapsed="false">
      <c r="A224" s="10" t="n">
        <f aca="false">A223+1</f>
        <v>220</v>
      </c>
      <c r="B224" s="36" t="n">
        <f aca="false">IF(Premissas!$B$9&lt;=1,1,MIN(1,Premissas!$B$8/100+(1-Premissas!$B$8/100)*(A224-1)/(Premissas!$B$9-1)))</f>
        <v>1</v>
      </c>
      <c r="C224" s="9" t="n">
        <f aca="false">IF(A224&lt;=Resultados!$B$9,Resultados!$B$10,0)</f>
        <v>0</v>
      </c>
      <c r="D224" s="9" t="n">
        <f aca="false">Resultados!$E$37*$B224-Resultados!$F$37*$B224-Premissas!$B$24-Resultados!$E$37*$B224*(Premissas!$B$14/100)</f>
        <v>19027</v>
      </c>
      <c r="E224" s="9" t="n">
        <f aca="false">D224-$C224</f>
        <v>19027</v>
      </c>
      <c r="F224" s="9" t="n">
        <f aca="false">F223+E224</f>
        <v>3796336.9</v>
      </c>
      <c r="G224" s="37" t="str">
        <f aca="false">IF(AND(F223&lt;0,F224&gt;=0,A224&lt;=MAX(120,Premissas!$B$15*12)),(A224-1)+(-F223)/E224,"")</f>
        <v/>
      </c>
      <c r="H224" s="9" t="n">
        <f aca="false">Resultados!$E$38*$B224-Resultados!$F$38*$B224-Premissas!$B$24-Resultados!$E$38*$B224*(Premissas!$B$14/100)</f>
        <v>24432.4</v>
      </c>
      <c r="I224" s="9" t="n">
        <f aca="false">H224-$C224</f>
        <v>24432.4</v>
      </c>
      <c r="J224" s="9" t="n">
        <f aca="false">J223+I224</f>
        <v>4967687.08</v>
      </c>
      <c r="K224" s="37" t="str">
        <f aca="false">IF(AND(J223&lt;0,J224&gt;=0,A224&lt;=MAX(120,Premissas!$B$15*12)),(A224-1)+(-J223)/I224,"")</f>
        <v/>
      </c>
      <c r="L224" s="9" t="n">
        <f aca="false">Resultados!$E$39*$B224-Resultados!$F$39*$B224-Premissas!$B$24-Resultados!$E$39*$B224*(Premissas!$B$14/100)</f>
        <v>29837.8</v>
      </c>
      <c r="M224" s="9" t="n">
        <f aca="false">L224-$C224</f>
        <v>29837.8</v>
      </c>
      <c r="N224" s="9" t="n">
        <f aca="false">N223+M224</f>
        <v>6139037.25999998</v>
      </c>
      <c r="O224" s="37" t="str">
        <f aca="false">IF(AND(N223&lt;0,N224&gt;=0,A224&lt;=MAX(120,Premissas!$B$15*12)),(A224-1)+(-N223)/M224,"")</f>
        <v/>
      </c>
      <c r="P224" s="9" t="n">
        <f aca="false">Resultados!$B$19*$B224-Resultados!$B$20*$B224-Premissas!$B$24-Resultados!$B$19*$B224*(Premissas!$B$14/100)</f>
        <v>24432.4</v>
      </c>
      <c r="Q224" s="9" t="n">
        <f aca="false">P224-$C224</f>
        <v>24432.4</v>
      </c>
      <c r="R224" s="9" t="n">
        <f aca="false">R223+Q224</f>
        <v>4967687.08</v>
      </c>
      <c r="S224" s="37" t="str">
        <f aca="false">IF(AND(R223&lt;0,R224&gt;=0,A224&lt;=MAX(120,Premissas!$B$15*12)),(A224-1)+(-R223)/Q224,"")</f>
        <v/>
      </c>
    </row>
    <row r="225" customFormat="false" ht="15" hidden="false" customHeight="false" outlineLevel="0" collapsed="false">
      <c r="A225" s="10" t="n">
        <f aca="false">A224+1</f>
        <v>221</v>
      </c>
      <c r="B225" s="36" t="n">
        <f aca="false">IF(Premissas!$B$9&lt;=1,1,MIN(1,Premissas!$B$8/100+(1-Premissas!$B$8/100)*(A225-1)/(Premissas!$B$9-1)))</f>
        <v>1</v>
      </c>
      <c r="C225" s="9" t="n">
        <f aca="false">IF(A225&lt;=Resultados!$B$9,Resultados!$B$10,0)</f>
        <v>0</v>
      </c>
      <c r="D225" s="9" t="n">
        <f aca="false">Resultados!$E$37*$B225-Resultados!$F$37*$B225-Premissas!$B$24-Resultados!$E$37*$B225*(Premissas!$B$14/100)</f>
        <v>19027</v>
      </c>
      <c r="E225" s="9" t="n">
        <f aca="false">D225-$C225</f>
        <v>19027</v>
      </c>
      <c r="F225" s="9" t="n">
        <f aca="false">F224+E225</f>
        <v>3815363.9</v>
      </c>
      <c r="G225" s="37" t="str">
        <f aca="false">IF(AND(F224&lt;0,F225&gt;=0,A225&lt;=MAX(120,Premissas!$B$15*12)),(A225-1)+(-F224)/E225,"")</f>
        <v/>
      </c>
      <c r="H225" s="9" t="n">
        <f aca="false">Resultados!$E$38*$B225-Resultados!$F$38*$B225-Premissas!$B$24-Resultados!$E$38*$B225*(Premissas!$B$14/100)</f>
        <v>24432.4</v>
      </c>
      <c r="I225" s="9" t="n">
        <f aca="false">H225-$C225</f>
        <v>24432.4</v>
      </c>
      <c r="J225" s="9" t="n">
        <f aca="false">J224+I225</f>
        <v>4992119.48</v>
      </c>
      <c r="K225" s="37" t="str">
        <f aca="false">IF(AND(J224&lt;0,J225&gt;=0,A225&lt;=MAX(120,Premissas!$B$15*12)),(A225-1)+(-J224)/I225,"")</f>
        <v/>
      </c>
      <c r="L225" s="9" t="n">
        <f aca="false">Resultados!$E$39*$B225-Resultados!$F$39*$B225-Premissas!$B$24-Resultados!$E$39*$B225*(Premissas!$B$14/100)</f>
        <v>29837.8</v>
      </c>
      <c r="M225" s="9" t="n">
        <f aca="false">L225-$C225</f>
        <v>29837.8</v>
      </c>
      <c r="N225" s="9" t="n">
        <f aca="false">N224+M225</f>
        <v>6168875.05999998</v>
      </c>
      <c r="O225" s="37" t="str">
        <f aca="false">IF(AND(N224&lt;0,N225&gt;=0,A225&lt;=MAX(120,Premissas!$B$15*12)),(A225-1)+(-N224)/M225,"")</f>
        <v/>
      </c>
      <c r="P225" s="9" t="n">
        <f aca="false">Resultados!$B$19*$B225-Resultados!$B$20*$B225-Premissas!$B$24-Resultados!$B$19*$B225*(Premissas!$B$14/100)</f>
        <v>24432.4</v>
      </c>
      <c r="Q225" s="9" t="n">
        <f aca="false">P225-$C225</f>
        <v>24432.4</v>
      </c>
      <c r="R225" s="9" t="n">
        <f aca="false">R224+Q225</f>
        <v>4992119.48</v>
      </c>
      <c r="S225" s="37" t="str">
        <f aca="false">IF(AND(R224&lt;0,R225&gt;=0,A225&lt;=MAX(120,Premissas!$B$15*12)),(A225-1)+(-R224)/Q225,"")</f>
        <v/>
      </c>
    </row>
    <row r="226" customFormat="false" ht="15" hidden="false" customHeight="false" outlineLevel="0" collapsed="false">
      <c r="A226" s="10" t="n">
        <f aca="false">A225+1</f>
        <v>222</v>
      </c>
      <c r="B226" s="36" t="n">
        <f aca="false">IF(Premissas!$B$9&lt;=1,1,MIN(1,Premissas!$B$8/100+(1-Premissas!$B$8/100)*(A226-1)/(Premissas!$B$9-1)))</f>
        <v>1</v>
      </c>
      <c r="C226" s="9" t="n">
        <f aca="false">IF(A226&lt;=Resultados!$B$9,Resultados!$B$10,0)</f>
        <v>0</v>
      </c>
      <c r="D226" s="9" t="n">
        <f aca="false">Resultados!$E$37*$B226-Resultados!$F$37*$B226-Premissas!$B$24-Resultados!$E$37*$B226*(Premissas!$B$14/100)</f>
        <v>19027</v>
      </c>
      <c r="E226" s="9" t="n">
        <f aca="false">D226-$C226</f>
        <v>19027</v>
      </c>
      <c r="F226" s="9" t="n">
        <f aca="false">F225+E226</f>
        <v>3834390.9</v>
      </c>
      <c r="G226" s="37" t="str">
        <f aca="false">IF(AND(F225&lt;0,F226&gt;=0,A226&lt;=MAX(120,Premissas!$B$15*12)),(A226-1)+(-F225)/E226,"")</f>
        <v/>
      </c>
      <c r="H226" s="9" t="n">
        <f aca="false">Resultados!$E$38*$B226-Resultados!$F$38*$B226-Premissas!$B$24-Resultados!$E$38*$B226*(Premissas!$B$14/100)</f>
        <v>24432.4</v>
      </c>
      <c r="I226" s="9" t="n">
        <f aca="false">H226-$C226</f>
        <v>24432.4</v>
      </c>
      <c r="J226" s="9" t="n">
        <f aca="false">J225+I226</f>
        <v>5016551.88</v>
      </c>
      <c r="K226" s="37" t="str">
        <f aca="false">IF(AND(J225&lt;0,J226&gt;=0,A226&lt;=MAX(120,Premissas!$B$15*12)),(A226-1)+(-J225)/I226,"")</f>
        <v/>
      </c>
      <c r="L226" s="9" t="n">
        <f aca="false">Resultados!$E$39*$B226-Resultados!$F$39*$B226-Premissas!$B$24-Resultados!$E$39*$B226*(Premissas!$B$14/100)</f>
        <v>29837.8</v>
      </c>
      <c r="M226" s="9" t="n">
        <f aca="false">L226-$C226</f>
        <v>29837.8</v>
      </c>
      <c r="N226" s="9" t="n">
        <f aca="false">N225+M226</f>
        <v>6198712.85999998</v>
      </c>
      <c r="O226" s="37" t="str">
        <f aca="false">IF(AND(N225&lt;0,N226&gt;=0,A226&lt;=MAX(120,Premissas!$B$15*12)),(A226-1)+(-N225)/M226,"")</f>
        <v/>
      </c>
      <c r="P226" s="9" t="n">
        <f aca="false">Resultados!$B$19*$B226-Resultados!$B$20*$B226-Premissas!$B$24-Resultados!$B$19*$B226*(Premissas!$B$14/100)</f>
        <v>24432.4</v>
      </c>
      <c r="Q226" s="9" t="n">
        <f aca="false">P226-$C226</f>
        <v>24432.4</v>
      </c>
      <c r="R226" s="9" t="n">
        <f aca="false">R225+Q226</f>
        <v>5016551.88</v>
      </c>
      <c r="S226" s="37" t="str">
        <f aca="false">IF(AND(R225&lt;0,R226&gt;=0,A226&lt;=MAX(120,Premissas!$B$15*12)),(A226-1)+(-R225)/Q226,"")</f>
        <v/>
      </c>
    </row>
    <row r="227" customFormat="false" ht="15" hidden="false" customHeight="false" outlineLevel="0" collapsed="false">
      <c r="A227" s="10" t="n">
        <f aca="false">A226+1</f>
        <v>223</v>
      </c>
      <c r="B227" s="36" t="n">
        <f aca="false">IF(Premissas!$B$9&lt;=1,1,MIN(1,Premissas!$B$8/100+(1-Premissas!$B$8/100)*(A227-1)/(Premissas!$B$9-1)))</f>
        <v>1</v>
      </c>
      <c r="C227" s="9" t="n">
        <f aca="false">IF(A227&lt;=Resultados!$B$9,Resultados!$B$10,0)</f>
        <v>0</v>
      </c>
      <c r="D227" s="9" t="n">
        <f aca="false">Resultados!$E$37*$B227-Resultados!$F$37*$B227-Premissas!$B$24-Resultados!$E$37*$B227*(Premissas!$B$14/100)</f>
        <v>19027</v>
      </c>
      <c r="E227" s="9" t="n">
        <f aca="false">D227-$C227</f>
        <v>19027</v>
      </c>
      <c r="F227" s="9" t="n">
        <f aca="false">F226+E227</f>
        <v>3853417.9</v>
      </c>
      <c r="G227" s="37" t="str">
        <f aca="false">IF(AND(F226&lt;0,F227&gt;=0,A227&lt;=MAX(120,Premissas!$B$15*12)),(A227-1)+(-F226)/E227,"")</f>
        <v/>
      </c>
      <c r="H227" s="9" t="n">
        <f aca="false">Resultados!$E$38*$B227-Resultados!$F$38*$B227-Premissas!$B$24-Resultados!$E$38*$B227*(Premissas!$B$14/100)</f>
        <v>24432.4</v>
      </c>
      <c r="I227" s="9" t="n">
        <f aca="false">H227-$C227</f>
        <v>24432.4</v>
      </c>
      <c r="J227" s="9" t="n">
        <f aca="false">J226+I227</f>
        <v>5040984.28</v>
      </c>
      <c r="K227" s="37" t="str">
        <f aca="false">IF(AND(J226&lt;0,J227&gt;=0,A227&lt;=MAX(120,Premissas!$B$15*12)),(A227-1)+(-J226)/I227,"")</f>
        <v/>
      </c>
      <c r="L227" s="9" t="n">
        <f aca="false">Resultados!$E$39*$B227-Resultados!$F$39*$B227-Premissas!$B$24-Resultados!$E$39*$B227*(Premissas!$B$14/100)</f>
        <v>29837.8</v>
      </c>
      <c r="M227" s="9" t="n">
        <f aca="false">L227-$C227</f>
        <v>29837.8</v>
      </c>
      <c r="N227" s="9" t="n">
        <f aca="false">N226+M227</f>
        <v>6228550.65999998</v>
      </c>
      <c r="O227" s="37" t="str">
        <f aca="false">IF(AND(N226&lt;0,N227&gt;=0,A227&lt;=MAX(120,Premissas!$B$15*12)),(A227-1)+(-N226)/M227,"")</f>
        <v/>
      </c>
      <c r="P227" s="9" t="n">
        <f aca="false">Resultados!$B$19*$B227-Resultados!$B$20*$B227-Premissas!$B$24-Resultados!$B$19*$B227*(Premissas!$B$14/100)</f>
        <v>24432.4</v>
      </c>
      <c r="Q227" s="9" t="n">
        <f aca="false">P227-$C227</f>
        <v>24432.4</v>
      </c>
      <c r="R227" s="9" t="n">
        <f aca="false">R226+Q227</f>
        <v>5040984.28</v>
      </c>
      <c r="S227" s="37" t="str">
        <f aca="false">IF(AND(R226&lt;0,R227&gt;=0,A227&lt;=MAX(120,Premissas!$B$15*12)),(A227-1)+(-R226)/Q227,"")</f>
        <v/>
      </c>
    </row>
    <row r="228" customFormat="false" ht="15" hidden="false" customHeight="false" outlineLevel="0" collapsed="false">
      <c r="A228" s="10" t="n">
        <f aca="false">A227+1</f>
        <v>224</v>
      </c>
      <c r="B228" s="36" t="n">
        <f aca="false">IF(Premissas!$B$9&lt;=1,1,MIN(1,Premissas!$B$8/100+(1-Premissas!$B$8/100)*(A228-1)/(Premissas!$B$9-1)))</f>
        <v>1</v>
      </c>
      <c r="C228" s="9" t="n">
        <f aca="false">IF(A228&lt;=Resultados!$B$9,Resultados!$B$10,0)</f>
        <v>0</v>
      </c>
      <c r="D228" s="9" t="n">
        <f aca="false">Resultados!$E$37*$B228-Resultados!$F$37*$B228-Premissas!$B$24-Resultados!$E$37*$B228*(Premissas!$B$14/100)</f>
        <v>19027</v>
      </c>
      <c r="E228" s="9" t="n">
        <f aca="false">D228-$C228</f>
        <v>19027</v>
      </c>
      <c r="F228" s="9" t="n">
        <f aca="false">F227+E228</f>
        <v>3872444.9</v>
      </c>
      <c r="G228" s="37" t="str">
        <f aca="false">IF(AND(F227&lt;0,F228&gt;=0,A228&lt;=MAX(120,Premissas!$B$15*12)),(A228-1)+(-F227)/E228,"")</f>
        <v/>
      </c>
      <c r="H228" s="9" t="n">
        <f aca="false">Resultados!$E$38*$B228-Resultados!$F$38*$B228-Premissas!$B$24-Resultados!$E$38*$B228*(Premissas!$B$14/100)</f>
        <v>24432.4</v>
      </c>
      <c r="I228" s="9" t="n">
        <f aca="false">H228-$C228</f>
        <v>24432.4</v>
      </c>
      <c r="J228" s="9" t="n">
        <f aca="false">J227+I228</f>
        <v>5065416.68</v>
      </c>
      <c r="K228" s="37" t="str">
        <f aca="false">IF(AND(J227&lt;0,J228&gt;=0,A228&lt;=MAX(120,Premissas!$B$15*12)),(A228-1)+(-J227)/I228,"")</f>
        <v/>
      </c>
      <c r="L228" s="9" t="n">
        <f aca="false">Resultados!$E$39*$B228-Resultados!$F$39*$B228-Premissas!$B$24-Resultados!$E$39*$B228*(Premissas!$B$14/100)</f>
        <v>29837.8</v>
      </c>
      <c r="M228" s="9" t="n">
        <f aca="false">L228-$C228</f>
        <v>29837.8</v>
      </c>
      <c r="N228" s="9" t="n">
        <f aca="false">N227+M228</f>
        <v>6258388.45999998</v>
      </c>
      <c r="O228" s="37" t="str">
        <f aca="false">IF(AND(N227&lt;0,N228&gt;=0,A228&lt;=MAX(120,Premissas!$B$15*12)),(A228-1)+(-N227)/M228,"")</f>
        <v/>
      </c>
      <c r="P228" s="9" t="n">
        <f aca="false">Resultados!$B$19*$B228-Resultados!$B$20*$B228-Premissas!$B$24-Resultados!$B$19*$B228*(Premissas!$B$14/100)</f>
        <v>24432.4</v>
      </c>
      <c r="Q228" s="9" t="n">
        <f aca="false">P228-$C228</f>
        <v>24432.4</v>
      </c>
      <c r="R228" s="9" t="n">
        <f aca="false">R227+Q228</f>
        <v>5065416.68</v>
      </c>
      <c r="S228" s="37" t="str">
        <f aca="false">IF(AND(R227&lt;0,R228&gt;=0,A228&lt;=MAX(120,Premissas!$B$15*12)),(A228-1)+(-R227)/Q228,"")</f>
        <v/>
      </c>
    </row>
    <row r="229" customFormat="false" ht="15" hidden="false" customHeight="false" outlineLevel="0" collapsed="false">
      <c r="A229" s="10" t="n">
        <f aca="false">A228+1</f>
        <v>225</v>
      </c>
      <c r="B229" s="36" t="n">
        <f aca="false">IF(Premissas!$B$9&lt;=1,1,MIN(1,Premissas!$B$8/100+(1-Premissas!$B$8/100)*(A229-1)/(Premissas!$B$9-1)))</f>
        <v>1</v>
      </c>
      <c r="C229" s="9" t="n">
        <f aca="false">IF(A229&lt;=Resultados!$B$9,Resultados!$B$10,0)</f>
        <v>0</v>
      </c>
      <c r="D229" s="9" t="n">
        <f aca="false">Resultados!$E$37*$B229-Resultados!$F$37*$B229-Premissas!$B$24-Resultados!$E$37*$B229*(Premissas!$B$14/100)</f>
        <v>19027</v>
      </c>
      <c r="E229" s="9" t="n">
        <f aca="false">D229-$C229</f>
        <v>19027</v>
      </c>
      <c r="F229" s="9" t="n">
        <f aca="false">F228+E229</f>
        <v>3891471.9</v>
      </c>
      <c r="G229" s="37" t="str">
        <f aca="false">IF(AND(F228&lt;0,F229&gt;=0,A229&lt;=MAX(120,Premissas!$B$15*12)),(A229-1)+(-F228)/E229,"")</f>
        <v/>
      </c>
      <c r="H229" s="9" t="n">
        <f aca="false">Resultados!$E$38*$B229-Resultados!$F$38*$B229-Premissas!$B$24-Resultados!$E$38*$B229*(Premissas!$B$14/100)</f>
        <v>24432.4</v>
      </c>
      <c r="I229" s="9" t="n">
        <f aca="false">H229-$C229</f>
        <v>24432.4</v>
      </c>
      <c r="J229" s="9" t="n">
        <f aca="false">J228+I229</f>
        <v>5089849.08</v>
      </c>
      <c r="K229" s="37" t="str">
        <f aca="false">IF(AND(J228&lt;0,J229&gt;=0,A229&lt;=MAX(120,Premissas!$B$15*12)),(A229-1)+(-J228)/I229,"")</f>
        <v/>
      </c>
      <c r="L229" s="9" t="n">
        <f aca="false">Resultados!$E$39*$B229-Resultados!$F$39*$B229-Premissas!$B$24-Resultados!$E$39*$B229*(Premissas!$B$14/100)</f>
        <v>29837.8</v>
      </c>
      <c r="M229" s="9" t="n">
        <f aca="false">L229-$C229</f>
        <v>29837.8</v>
      </c>
      <c r="N229" s="9" t="n">
        <f aca="false">N228+M229</f>
        <v>6288226.25999998</v>
      </c>
      <c r="O229" s="37" t="str">
        <f aca="false">IF(AND(N228&lt;0,N229&gt;=0,A229&lt;=MAX(120,Premissas!$B$15*12)),(A229-1)+(-N228)/M229,"")</f>
        <v/>
      </c>
      <c r="P229" s="9" t="n">
        <f aca="false">Resultados!$B$19*$B229-Resultados!$B$20*$B229-Premissas!$B$24-Resultados!$B$19*$B229*(Premissas!$B$14/100)</f>
        <v>24432.4</v>
      </c>
      <c r="Q229" s="9" t="n">
        <f aca="false">P229-$C229</f>
        <v>24432.4</v>
      </c>
      <c r="R229" s="9" t="n">
        <f aca="false">R228+Q229</f>
        <v>5089849.08</v>
      </c>
      <c r="S229" s="37" t="str">
        <f aca="false">IF(AND(R228&lt;0,R229&gt;=0,A229&lt;=MAX(120,Premissas!$B$15*12)),(A229-1)+(-R228)/Q229,"")</f>
        <v/>
      </c>
    </row>
    <row r="230" customFormat="false" ht="15" hidden="false" customHeight="false" outlineLevel="0" collapsed="false">
      <c r="A230" s="10" t="n">
        <f aca="false">A229+1</f>
        <v>226</v>
      </c>
      <c r="B230" s="36" t="n">
        <f aca="false">IF(Premissas!$B$9&lt;=1,1,MIN(1,Premissas!$B$8/100+(1-Premissas!$B$8/100)*(A230-1)/(Premissas!$B$9-1)))</f>
        <v>1</v>
      </c>
      <c r="C230" s="9" t="n">
        <f aca="false">IF(A230&lt;=Resultados!$B$9,Resultados!$B$10,0)</f>
        <v>0</v>
      </c>
      <c r="D230" s="9" t="n">
        <f aca="false">Resultados!$E$37*$B230-Resultados!$F$37*$B230-Premissas!$B$24-Resultados!$E$37*$B230*(Premissas!$B$14/100)</f>
        <v>19027</v>
      </c>
      <c r="E230" s="9" t="n">
        <f aca="false">D230-$C230</f>
        <v>19027</v>
      </c>
      <c r="F230" s="9" t="n">
        <f aca="false">F229+E230</f>
        <v>3910498.9</v>
      </c>
      <c r="G230" s="37" t="str">
        <f aca="false">IF(AND(F229&lt;0,F230&gt;=0,A230&lt;=MAX(120,Premissas!$B$15*12)),(A230-1)+(-F229)/E230,"")</f>
        <v/>
      </c>
      <c r="H230" s="9" t="n">
        <f aca="false">Resultados!$E$38*$B230-Resultados!$F$38*$B230-Premissas!$B$24-Resultados!$E$38*$B230*(Premissas!$B$14/100)</f>
        <v>24432.4</v>
      </c>
      <c r="I230" s="9" t="n">
        <f aca="false">H230-$C230</f>
        <v>24432.4</v>
      </c>
      <c r="J230" s="9" t="n">
        <f aca="false">J229+I230</f>
        <v>5114281.48</v>
      </c>
      <c r="K230" s="37" t="str">
        <f aca="false">IF(AND(J229&lt;0,J230&gt;=0,A230&lt;=MAX(120,Premissas!$B$15*12)),(A230-1)+(-J229)/I230,"")</f>
        <v/>
      </c>
      <c r="L230" s="9" t="n">
        <f aca="false">Resultados!$E$39*$B230-Resultados!$F$39*$B230-Premissas!$B$24-Resultados!$E$39*$B230*(Premissas!$B$14/100)</f>
        <v>29837.8</v>
      </c>
      <c r="M230" s="9" t="n">
        <f aca="false">L230-$C230</f>
        <v>29837.8</v>
      </c>
      <c r="N230" s="9" t="n">
        <f aca="false">N229+M230</f>
        <v>6318064.05999998</v>
      </c>
      <c r="O230" s="37" t="str">
        <f aca="false">IF(AND(N229&lt;0,N230&gt;=0,A230&lt;=MAX(120,Premissas!$B$15*12)),(A230-1)+(-N229)/M230,"")</f>
        <v/>
      </c>
      <c r="P230" s="9" t="n">
        <f aca="false">Resultados!$B$19*$B230-Resultados!$B$20*$B230-Premissas!$B$24-Resultados!$B$19*$B230*(Premissas!$B$14/100)</f>
        <v>24432.4</v>
      </c>
      <c r="Q230" s="9" t="n">
        <f aca="false">P230-$C230</f>
        <v>24432.4</v>
      </c>
      <c r="R230" s="9" t="n">
        <f aca="false">R229+Q230</f>
        <v>5114281.48</v>
      </c>
      <c r="S230" s="37" t="str">
        <f aca="false">IF(AND(R229&lt;0,R230&gt;=0,A230&lt;=MAX(120,Premissas!$B$15*12)),(A230-1)+(-R229)/Q230,"")</f>
        <v/>
      </c>
    </row>
    <row r="231" customFormat="false" ht="15" hidden="false" customHeight="false" outlineLevel="0" collapsed="false">
      <c r="A231" s="10" t="n">
        <f aca="false">A230+1</f>
        <v>227</v>
      </c>
      <c r="B231" s="36" t="n">
        <f aca="false">IF(Premissas!$B$9&lt;=1,1,MIN(1,Premissas!$B$8/100+(1-Premissas!$B$8/100)*(A231-1)/(Premissas!$B$9-1)))</f>
        <v>1</v>
      </c>
      <c r="C231" s="9" t="n">
        <f aca="false">IF(A231&lt;=Resultados!$B$9,Resultados!$B$10,0)</f>
        <v>0</v>
      </c>
      <c r="D231" s="9" t="n">
        <f aca="false">Resultados!$E$37*$B231-Resultados!$F$37*$B231-Premissas!$B$24-Resultados!$E$37*$B231*(Premissas!$B$14/100)</f>
        <v>19027</v>
      </c>
      <c r="E231" s="9" t="n">
        <f aca="false">D231-$C231</f>
        <v>19027</v>
      </c>
      <c r="F231" s="9" t="n">
        <f aca="false">F230+E231</f>
        <v>3929525.9</v>
      </c>
      <c r="G231" s="37" t="str">
        <f aca="false">IF(AND(F230&lt;0,F231&gt;=0,A231&lt;=MAX(120,Premissas!$B$15*12)),(A231-1)+(-F230)/E231,"")</f>
        <v/>
      </c>
      <c r="H231" s="9" t="n">
        <f aca="false">Resultados!$E$38*$B231-Resultados!$F$38*$B231-Premissas!$B$24-Resultados!$E$38*$B231*(Premissas!$B$14/100)</f>
        <v>24432.4</v>
      </c>
      <c r="I231" s="9" t="n">
        <f aca="false">H231-$C231</f>
        <v>24432.4</v>
      </c>
      <c r="J231" s="9" t="n">
        <f aca="false">J230+I231</f>
        <v>5138713.88</v>
      </c>
      <c r="K231" s="37" t="str">
        <f aca="false">IF(AND(J230&lt;0,J231&gt;=0,A231&lt;=MAX(120,Premissas!$B$15*12)),(A231-1)+(-J230)/I231,"")</f>
        <v/>
      </c>
      <c r="L231" s="9" t="n">
        <f aca="false">Resultados!$E$39*$B231-Resultados!$F$39*$B231-Premissas!$B$24-Resultados!$E$39*$B231*(Premissas!$B$14/100)</f>
        <v>29837.8</v>
      </c>
      <c r="M231" s="9" t="n">
        <f aca="false">L231-$C231</f>
        <v>29837.8</v>
      </c>
      <c r="N231" s="9" t="n">
        <f aca="false">N230+M231</f>
        <v>6347901.85999998</v>
      </c>
      <c r="O231" s="37" t="str">
        <f aca="false">IF(AND(N230&lt;0,N231&gt;=0,A231&lt;=MAX(120,Premissas!$B$15*12)),(A231-1)+(-N230)/M231,"")</f>
        <v/>
      </c>
      <c r="P231" s="9" t="n">
        <f aca="false">Resultados!$B$19*$B231-Resultados!$B$20*$B231-Premissas!$B$24-Resultados!$B$19*$B231*(Premissas!$B$14/100)</f>
        <v>24432.4</v>
      </c>
      <c r="Q231" s="9" t="n">
        <f aca="false">P231-$C231</f>
        <v>24432.4</v>
      </c>
      <c r="R231" s="9" t="n">
        <f aca="false">R230+Q231</f>
        <v>5138713.88</v>
      </c>
      <c r="S231" s="37" t="str">
        <f aca="false">IF(AND(R230&lt;0,R231&gt;=0,A231&lt;=MAX(120,Premissas!$B$15*12)),(A231-1)+(-R230)/Q231,"")</f>
        <v/>
      </c>
    </row>
    <row r="232" customFormat="false" ht="15" hidden="false" customHeight="false" outlineLevel="0" collapsed="false">
      <c r="A232" s="10" t="n">
        <f aca="false">A231+1</f>
        <v>228</v>
      </c>
      <c r="B232" s="36" t="n">
        <f aca="false">IF(Premissas!$B$9&lt;=1,1,MIN(1,Premissas!$B$8/100+(1-Premissas!$B$8/100)*(A232-1)/(Premissas!$B$9-1)))</f>
        <v>1</v>
      </c>
      <c r="C232" s="9" t="n">
        <f aca="false">IF(A232&lt;=Resultados!$B$9,Resultados!$B$10,0)</f>
        <v>0</v>
      </c>
      <c r="D232" s="9" t="n">
        <f aca="false">Resultados!$E$37*$B232-Resultados!$F$37*$B232-Premissas!$B$24-Resultados!$E$37*$B232*(Premissas!$B$14/100)</f>
        <v>19027</v>
      </c>
      <c r="E232" s="9" t="n">
        <f aca="false">D232-$C232</f>
        <v>19027</v>
      </c>
      <c r="F232" s="9" t="n">
        <f aca="false">F231+E232</f>
        <v>3948552.9</v>
      </c>
      <c r="G232" s="37" t="str">
        <f aca="false">IF(AND(F231&lt;0,F232&gt;=0,A232&lt;=MAX(120,Premissas!$B$15*12)),(A232-1)+(-F231)/E232,"")</f>
        <v/>
      </c>
      <c r="H232" s="9" t="n">
        <f aca="false">Resultados!$E$38*$B232-Resultados!$F$38*$B232-Premissas!$B$24-Resultados!$E$38*$B232*(Premissas!$B$14/100)</f>
        <v>24432.4</v>
      </c>
      <c r="I232" s="9" t="n">
        <f aca="false">H232-$C232</f>
        <v>24432.4</v>
      </c>
      <c r="J232" s="9" t="n">
        <f aca="false">J231+I232</f>
        <v>5163146.28</v>
      </c>
      <c r="K232" s="37" t="str">
        <f aca="false">IF(AND(J231&lt;0,J232&gt;=0,A232&lt;=MAX(120,Premissas!$B$15*12)),(A232-1)+(-J231)/I232,"")</f>
        <v/>
      </c>
      <c r="L232" s="9" t="n">
        <f aca="false">Resultados!$E$39*$B232-Resultados!$F$39*$B232-Premissas!$B$24-Resultados!$E$39*$B232*(Premissas!$B$14/100)</f>
        <v>29837.8</v>
      </c>
      <c r="M232" s="9" t="n">
        <f aca="false">L232-$C232</f>
        <v>29837.8</v>
      </c>
      <c r="N232" s="9" t="n">
        <f aca="false">N231+M232</f>
        <v>6377739.65999998</v>
      </c>
      <c r="O232" s="37" t="str">
        <f aca="false">IF(AND(N231&lt;0,N232&gt;=0,A232&lt;=MAX(120,Premissas!$B$15*12)),(A232-1)+(-N231)/M232,"")</f>
        <v/>
      </c>
      <c r="P232" s="9" t="n">
        <f aca="false">Resultados!$B$19*$B232-Resultados!$B$20*$B232-Premissas!$B$24-Resultados!$B$19*$B232*(Premissas!$B$14/100)</f>
        <v>24432.4</v>
      </c>
      <c r="Q232" s="9" t="n">
        <f aca="false">P232-$C232</f>
        <v>24432.4</v>
      </c>
      <c r="R232" s="9" t="n">
        <f aca="false">R231+Q232</f>
        <v>5163146.28</v>
      </c>
      <c r="S232" s="37" t="str">
        <f aca="false">IF(AND(R231&lt;0,R232&gt;=0,A232&lt;=MAX(120,Premissas!$B$15*12)),(A232-1)+(-R231)/Q232,"")</f>
        <v/>
      </c>
    </row>
    <row r="233" customFormat="false" ht="15" hidden="false" customHeight="false" outlineLevel="0" collapsed="false">
      <c r="A233" s="10" t="n">
        <f aca="false">A232+1</f>
        <v>229</v>
      </c>
      <c r="B233" s="36" t="n">
        <f aca="false">IF(Premissas!$B$9&lt;=1,1,MIN(1,Premissas!$B$8/100+(1-Premissas!$B$8/100)*(A233-1)/(Premissas!$B$9-1)))</f>
        <v>1</v>
      </c>
      <c r="C233" s="9" t="n">
        <f aca="false">IF(A233&lt;=Resultados!$B$9,Resultados!$B$10,0)</f>
        <v>0</v>
      </c>
      <c r="D233" s="9" t="n">
        <f aca="false">Resultados!$E$37*$B233-Resultados!$F$37*$B233-Premissas!$B$24-Resultados!$E$37*$B233*(Premissas!$B$14/100)</f>
        <v>19027</v>
      </c>
      <c r="E233" s="9" t="n">
        <f aca="false">D233-$C233</f>
        <v>19027</v>
      </c>
      <c r="F233" s="9" t="n">
        <f aca="false">F232+E233</f>
        <v>3967579.9</v>
      </c>
      <c r="G233" s="37" t="str">
        <f aca="false">IF(AND(F232&lt;0,F233&gt;=0,A233&lt;=MAX(120,Premissas!$B$15*12)),(A233-1)+(-F232)/E233,"")</f>
        <v/>
      </c>
      <c r="H233" s="9" t="n">
        <f aca="false">Resultados!$E$38*$B233-Resultados!$F$38*$B233-Premissas!$B$24-Resultados!$E$38*$B233*(Premissas!$B$14/100)</f>
        <v>24432.4</v>
      </c>
      <c r="I233" s="9" t="n">
        <f aca="false">H233-$C233</f>
        <v>24432.4</v>
      </c>
      <c r="J233" s="9" t="n">
        <f aca="false">J232+I233</f>
        <v>5187578.68</v>
      </c>
      <c r="K233" s="37" t="str">
        <f aca="false">IF(AND(J232&lt;0,J233&gt;=0,A233&lt;=MAX(120,Premissas!$B$15*12)),(A233-1)+(-J232)/I233,"")</f>
        <v/>
      </c>
      <c r="L233" s="9" t="n">
        <f aca="false">Resultados!$E$39*$B233-Resultados!$F$39*$B233-Premissas!$B$24-Resultados!$E$39*$B233*(Premissas!$B$14/100)</f>
        <v>29837.8</v>
      </c>
      <c r="M233" s="9" t="n">
        <f aca="false">L233-$C233</f>
        <v>29837.8</v>
      </c>
      <c r="N233" s="9" t="n">
        <f aca="false">N232+M233</f>
        <v>6407577.45999998</v>
      </c>
      <c r="O233" s="37" t="str">
        <f aca="false">IF(AND(N232&lt;0,N233&gt;=0,A233&lt;=MAX(120,Premissas!$B$15*12)),(A233-1)+(-N232)/M233,"")</f>
        <v/>
      </c>
      <c r="P233" s="9" t="n">
        <f aca="false">Resultados!$B$19*$B233-Resultados!$B$20*$B233-Premissas!$B$24-Resultados!$B$19*$B233*(Premissas!$B$14/100)</f>
        <v>24432.4</v>
      </c>
      <c r="Q233" s="9" t="n">
        <f aca="false">P233-$C233</f>
        <v>24432.4</v>
      </c>
      <c r="R233" s="9" t="n">
        <f aca="false">R232+Q233</f>
        <v>5187578.68</v>
      </c>
      <c r="S233" s="37" t="str">
        <f aca="false">IF(AND(R232&lt;0,R233&gt;=0,A233&lt;=MAX(120,Premissas!$B$15*12)),(A233-1)+(-R232)/Q233,"")</f>
        <v/>
      </c>
    </row>
    <row r="234" customFormat="false" ht="15" hidden="false" customHeight="false" outlineLevel="0" collapsed="false">
      <c r="A234" s="10" t="n">
        <f aca="false">A233+1</f>
        <v>230</v>
      </c>
      <c r="B234" s="36" t="n">
        <f aca="false">IF(Premissas!$B$9&lt;=1,1,MIN(1,Premissas!$B$8/100+(1-Premissas!$B$8/100)*(A234-1)/(Premissas!$B$9-1)))</f>
        <v>1</v>
      </c>
      <c r="C234" s="9" t="n">
        <f aca="false">IF(A234&lt;=Resultados!$B$9,Resultados!$B$10,0)</f>
        <v>0</v>
      </c>
      <c r="D234" s="9" t="n">
        <f aca="false">Resultados!$E$37*$B234-Resultados!$F$37*$B234-Premissas!$B$24-Resultados!$E$37*$B234*(Premissas!$B$14/100)</f>
        <v>19027</v>
      </c>
      <c r="E234" s="9" t="n">
        <f aca="false">D234-$C234</f>
        <v>19027</v>
      </c>
      <c r="F234" s="9" t="n">
        <f aca="false">F233+E234</f>
        <v>3986606.9</v>
      </c>
      <c r="G234" s="37" t="str">
        <f aca="false">IF(AND(F233&lt;0,F234&gt;=0,A234&lt;=MAX(120,Premissas!$B$15*12)),(A234-1)+(-F233)/E234,"")</f>
        <v/>
      </c>
      <c r="H234" s="9" t="n">
        <f aca="false">Resultados!$E$38*$B234-Resultados!$F$38*$B234-Premissas!$B$24-Resultados!$E$38*$B234*(Premissas!$B$14/100)</f>
        <v>24432.4</v>
      </c>
      <c r="I234" s="9" t="n">
        <f aca="false">H234-$C234</f>
        <v>24432.4</v>
      </c>
      <c r="J234" s="9" t="n">
        <f aca="false">J233+I234</f>
        <v>5212011.08000001</v>
      </c>
      <c r="K234" s="37" t="str">
        <f aca="false">IF(AND(J233&lt;0,J234&gt;=0,A234&lt;=MAX(120,Premissas!$B$15*12)),(A234-1)+(-J233)/I234,"")</f>
        <v/>
      </c>
      <c r="L234" s="9" t="n">
        <f aca="false">Resultados!$E$39*$B234-Resultados!$F$39*$B234-Premissas!$B$24-Resultados!$E$39*$B234*(Premissas!$B$14/100)</f>
        <v>29837.8</v>
      </c>
      <c r="M234" s="9" t="n">
        <f aca="false">L234-$C234</f>
        <v>29837.8</v>
      </c>
      <c r="N234" s="9" t="n">
        <f aca="false">N233+M234</f>
        <v>6437415.25999998</v>
      </c>
      <c r="O234" s="37" t="str">
        <f aca="false">IF(AND(N233&lt;0,N234&gt;=0,A234&lt;=MAX(120,Premissas!$B$15*12)),(A234-1)+(-N233)/M234,"")</f>
        <v/>
      </c>
      <c r="P234" s="9" t="n">
        <f aca="false">Resultados!$B$19*$B234-Resultados!$B$20*$B234-Premissas!$B$24-Resultados!$B$19*$B234*(Premissas!$B$14/100)</f>
        <v>24432.4</v>
      </c>
      <c r="Q234" s="9" t="n">
        <f aca="false">P234-$C234</f>
        <v>24432.4</v>
      </c>
      <c r="R234" s="9" t="n">
        <f aca="false">R233+Q234</f>
        <v>5212011.08000001</v>
      </c>
      <c r="S234" s="37" t="str">
        <f aca="false">IF(AND(R233&lt;0,R234&gt;=0,A234&lt;=MAX(120,Premissas!$B$15*12)),(A234-1)+(-R233)/Q234,"")</f>
        <v/>
      </c>
    </row>
    <row r="235" customFormat="false" ht="15" hidden="false" customHeight="false" outlineLevel="0" collapsed="false">
      <c r="A235" s="10" t="n">
        <f aca="false">A234+1</f>
        <v>231</v>
      </c>
      <c r="B235" s="36" t="n">
        <f aca="false">IF(Premissas!$B$9&lt;=1,1,MIN(1,Premissas!$B$8/100+(1-Premissas!$B$8/100)*(A235-1)/(Premissas!$B$9-1)))</f>
        <v>1</v>
      </c>
      <c r="C235" s="9" t="n">
        <f aca="false">IF(A235&lt;=Resultados!$B$9,Resultados!$B$10,0)</f>
        <v>0</v>
      </c>
      <c r="D235" s="9" t="n">
        <f aca="false">Resultados!$E$37*$B235-Resultados!$F$37*$B235-Premissas!$B$24-Resultados!$E$37*$B235*(Premissas!$B$14/100)</f>
        <v>19027</v>
      </c>
      <c r="E235" s="9" t="n">
        <f aca="false">D235-$C235</f>
        <v>19027</v>
      </c>
      <c r="F235" s="9" t="n">
        <f aca="false">F234+E235</f>
        <v>4005633.9</v>
      </c>
      <c r="G235" s="37" t="str">
        <f aca="false">IF(AND(F234&lt;0,F235&gt;=0,A235&lt;=MAX(120,Premissas!$B$15*12)),(A235-1)+(-F234)/E235,"")</f>
        <v/>
      </c>
      <c r="H235" s="9" t="n">
        <f aca="false">Resultados!$E$38*$B235-Resultados!$F$38*$B235-Premissas!$B$24-Resultados!$E$38*$B235*(Premissas!$B$14/100)</f>
        <v>24432.4</v>
      </c>
      <c r="I235" s="9" t="n">
        <f aca="false">H235-$C235</f>
        <v>24432.4</v>
      </c>
      <c r="J235" s="9" t="n">
        <f aca="false">J234+I235</f>
        <v>5236443.48000001</v>
      </c>
      <c r="K235" s="37" t="str">
        <f aca="false">IF(AND(J234&lt;0,J235&gt;=0,A235&lt;=MAX(120,Premissas!$B$15*12)),(A235-1)+(-J234)/I235,"")</f>
        <v/>
      </c>
      <c r="L235" s="9" t="n">
        <f aca="false">Resultados!$E$39*$B235-Resultados!$F$39*$B235-Premissas!$B$24-Resultados!$E$39*$B235*(Premissas!$B$14/100)</f>
        <v>29837.8</v>
      </c>
      <c r="M235" s="9" t="n">
        <f aca="false">L235-$C235</f>
        <v>29837.8</v>
      </c>
      <c r="N235" s="9" t="n">
        <f aca="false">N234+M235</f>
        <v>6467253.05999998</v>
      </c>
      <c r="O235" s="37" t="str">
        <f aca="false">IF(AND(N234&lt;0,N235&gt;=0,A235&lt;=MAX(120,Premissas!$B$15*12)),(A235-1)+(-N234)/M235,"")</f>
        <v/>
      </c>
      <c r="P235" s="9" t="n">
        <f aca="false">Resultados!$B$19*$B235-Resultados!$B$20*$B235-Premissas!$B$24-Resultados!$B$19*$B235*(Premissas!$B$14/100)</f>
        <v>24432.4</v>
      </c>
      <c r="Q235" s="9" t="n">
        <f aca="false">P235-$C235</f>
        <v>24432.4</v>
      </c>
      <c r="R235" s="9" t="n">
        <f aca="false">R234+Q235</f>
        <v>5236443.48000001</v>
      </c>
      <c r="S235" s="37" t="str">
        <f aca="false">IF(AND(R234&lt;0,R235&gt;=0,A235&lt;=MAX(120,Premissas!$B$15*12)),(A235-1)+(-R234)/Q235,"")</f>
        <v/>
      </c>
    </row>
    <row r="236" customFormat="false" ht="15" hidden="false" customHeight="false" outlineLevel="0" collapsed="false">
      <c r="A236" s="10" t="n">
        <f aca="false">A235+1</f>
        <v>232</v>
      </c>
      <c r="B236" s="36" t="n">
        <f aca="false">IF(Premissas!$B$9&lt;=1,1,MIN(1,Premissas!$B$8/100+(1-Premissas!$B$8/100)*(A236-1)/(Premissas!$B$9-1)))</f>
        <v>1</v>
      </c>
      <c r="C236" s="9" t="n">
        <f aca="false">IF(A236&lt;=Resultados!$B$9,Resultados!$B$10,0)</f>
        <v>0</v>
      </c>
      <c r="D236" s="9" t="n">
        <f aca="false">Resultados!$E$37*$B236-Resultados!$F$37*$B236-Premissas!$B$24-Resultados!$E$37*$B236*(Premissas!$B$14/100)</f>
        <v>19027</v>
      </c>
      <c r="E236" s="9" t="n">
        <f aca="false">D236-$C236</f>
        <v>19027</v>
      </c>
      <c r="F236" s="9" t="n">
        <f aca="false">F235+E236</f>
        <v>4024660.9</v>
      </c>
      <c r="G236" s="37" t="str">
        <f aca="false">IF(AND(F235&lt;0,F236&gt;=0,A236&lt;=MAX(120,Premissas!$B$15*12)),(A236-1)+(-F235)/E236,"")</f>
        <v/>
      </c>
      <c r="H236" s="9" t="n">
        <f aca="false">Resultados!$E$38*$B236-Resultados!$F$38*$B236-Premissas!$B$24-Resultados!$E$38*$B236*(Premissas!$B$14/100)</f>
        <v>24432.4</v>
      </c>
      <c r="I236" s="9" t="n">
        <f aca="false">H236-$C236</f>
        <v>24432.4</v>
      </c>
      <c r="J236" s="9" t="n">
        <f aca="false">J235+I236</f>
        <v>5260875.88000001</v>
      </c>
      <c r="K236" s="37" t="str">
        <f aca="false">IF(AND(J235&lt;0,J236&gt;=0,A236&lt;=MAX(120,Premissas!$B$15*12)),(A236-1)+(-J235)/I236,"")</f>
        <v/>
      </c>
      <c r="L236" s="9" t="n">
        <f aca="false">Resultados!$E$39*$B236-Resultados!$F$39*$B236-Premissas!$B$24-Resultados!$E$39*$B236*(Premissas!$B$14/100)</f>
        <v>29837.8</v>
      </c>
      <c r="M236" s="9" t="n">
        <f aca="false">L236-$C236</f>
        <v>29837.8</v>
      </c>
      <c r="N236" s="9" t="n">
        <f aca="false">N235+M236</f>
        <v>6497090.85999998</v>
      </c>
      <c r="O236" s="37" t="str">
        <f aca="false">IF(AND(N235&lt;0,N236&gt;=0,A236&lt;=MAX(120,Premissas!$B$15*12)),(A236-1)+(-N235)/M236,"")</f>
        <v/>
      </c>
      <c r="P236" s="9" t="n">
        <f aca="false">Resultados!$B$19*$B236-Resultados!$B$20*$B236-Premissas!$B$24-Resultados!$B$19*$B236*(Premissas!$B$14/100)</f>
        <v>24432.4</v>
      </c>
      <c r="Q236" s="9" t="n">
        <f aca="false">P236-$C236</f>
        <v>24432.4</v>
      </c>
      <c r="R236" s="9" t="n">
        <f aca="false">R235+Q236</f>
        <v>5260875.88000001</v>
      </c>
      <c r="S236" s="37" t="str">
        <f aca="false">IF(AND(R235&lt;0,R236&gt;=0,A236&lt;=MAX(120,Premissas!$B$15*12)),(A236-1)+(-R235)/Q236,"")</f>
        <v/>
      </c>
    </row>
    <row r="237" customFormat="false" ht="15" hidden="false" customHeight="false" outlineLevel="0" collapsed="false">
      <c r="A237" s="10" t="n">
        <f aca="false">A236+1</f>
        <v>233</v>
      </c>
      <c r="B237" s="36" t="n">
        <f aca="false">IF(Premissas!$B$9&lt;=1,1,MIN(1,Premissas!$B$8/100+(1-Premissas!$B$8/100)*(A237-1)/(Premissas!$B$9-1)))</f>
        <v>1</v>
      </c>
      <c r="C237" s="9" t="n">
        <f aca="false">IF(A237&lt;=Resultados!$B$9,Resultados!$B$10,0)</f>
        <v>0</v>
      </c>
      <c r="D237" s="9" t="n">
        <f aca="false">Resultados!$E$37*$B237-Resultados!$F$37*$B237-Premissas!$B$24-Resultados!$E$37*$B237*(Premissas!$B$14/100)</f>
        <v>19027</v>
      </c>
      <c r="E237" s="9" t="n">
        <f aca="false">D237-$C237</f>
        <v>19027</v>
      </c>
      <c r="F237" s="9" t="n">
        <f aca="false">F236+E237</f>
        <v>4043687.9</v>
      </c>
      <c r="G237" s="37" t="str">
        <f aca="false">IF(AND(F236&lt;0,F237&gt;=0,A237&lt;=MAX(120,Premissas!$B$15*12)),(A237-1)+(-F236)/E237,"")</f>
        <v/>
      </c>
      <c r="H237" s="9" t="n">
        <f aca="false">Resultados!$E$38*$B237-Resultados!$F$38*$B237-Premissas!$B$24-Resultados!$E$38*$B237*(Premissas!$B$14/100)</f>
        <v>24432.4</v>
      </c>
      <c r="I237" s="9" t="n">
        <f aca="false">H237-$C237</f>
        <v>24432.4</v>
      </c>
      <c r="J237" s="9" t="n">
        <f aca="false">J236+I237</f>
        <v>5285308.28000001</v>
      </c>
      <c r="K237" s="37" t="str">
        <f aca="false">IF(AND(J236&lt;0,J237&gt;=0,A237&lt;=MAX(120,Premissas!$B$15*12)),(A237-1)+(-J236)/I237,"")</f>
        <v/>
      </c>
      <c r="L237" s="9" t="n">
        <f aca="false">Resultados!$E$39*$B237-Resultados!$F$39*$B237-Premissas!$B$24-Resultados!$E$39*$B237*(Premissas!$B$14/100)</f>
        <v>29837.8</v>
      </c>
      <c r="M237" s="9" t="n">
        <f aca="false">L237-$C237</f>
        <v>29837.8</v>
      </c>
      <c r="N237" s="9" t="n">
        <f aca="false">N236+M237</f>
        <v>6526928.65999998</v>
      </c>
      <c r="O237" s="37" t="str">
        <f aca="false">IF(AND(N236&lt;0,N237&gt;=0,A237&lt;=MAX(120,Premissas!$B$15*12)),(A237-1)+(-N236)/M237,"")</f>
        <v/>
      </c>
      <c r="P237" s="9" t="n">
        <f aca="false">Resultados!$B$19*$B237-Resultados!$B$20*$B237-Premissas!$B$24-Resultados!$B$19*$B237*(Premissas!$B$14/100)</f>
        <v>24432.4</v>
      </c>
      <c r="Q237" s="9" t="n">
        <f aca="false">P237-$C237</f>
        <v>24432.4</v>
      </c>
      <c r="R237" s="9" t="n">
        <f aca="false">R236+Q237</f>
        <v>5285308.28000001</v>
      </c>
      <c r="S237" s="37" t="str">
        <f aca="false">IF(AND(R236&lt;0,R237&gt;=0,A237&lt;=MAX(120,Premissas!$B$15*12)),(A237-1)+(-R236)/Q237,"")</f>
        <v/>
      </c>
    </row>
    <row r="238" customFormat="false" ht="15" hidden="false" customHeight="false" outlineLevel="0" collapsed="false">
      <c r="A238" s="10" t="n">
        <f aca="false">A237+1</f>
        <v>234</v>
      </c>
      <c r="B238" s="36" t="n">
        <f aca="false">IF(Premissas!$B$9&lt;=1,1,MIN(1,Premissas!$B$8/100+(1-Premissas!$B$8/100)*(A238-1)/(Premissas!$B$9-1)))</f>
        <v>1</v>
      </c>
      <c r="C238" s="9" t="n">
        <f aca="false">IF(A238&lt;=Resultados!$B$9,Resultados!$B$10,0)</f>
        <v>0</v>
      </c>
      <c r="D238" s="9" t="n">
        <f aca="false">Resultados!$E$37*$B238-Resultados!$F$37*$B238-Premissas!$B$24-Resultados!$E$37*$B238*(Premissas!$B$14/100)</f>
        <v>19027</v>
      </c>
      <c r="E238" s="9" t="n">
        <f aca="false">D238-$C238</f>
        <v>19027</v>
      </c>
      <c r="F238" s="9" t="n">
        <f aca="false">F237+E238</f>
        <v>4062714.9</v>
      </c>
      <c r="G238" s="37" t="str">
        <f aca="false">IF(AND(F237&lt;0,F238&gt;=0,A238&lt;=MAX(120,Premissas!$B$15*12)),(A238-1)+(-F237)/E238,"")</f>
        <v/>
      </c>
      <c r="H238" s="9" t="n">
        <f aca="false">Resultados!$E$38*$B238-Resultados!$F$38*$B238-Premissas!$B$24-Resultados!$E$38*$B238*(Premissas!$B$14/100)</f>
        <v>24432.4</v>
      </c>
      <c r="I238" s="9" t="n">
        <f aca="false">H238-$C238</f>
        <v>24432.4</v>
      </c>
      <c r="J238" s="9" t="n">
        <f aca="false">J237+I238</f>
        <v>5309740.68000001</v>
      </c>
      <c r="K238" s="37" t="str">
        <f aca="false">IF(AND(J237&lt;0,J238&gt;=0,A238&lt;=MAX(120,Premissas!$B$15*12)),(A238-1)+(-J237)/I238,"")</f>
        <v/>
      </c>
      <c r="L238" s="9" t="n">
        <f aca="false">Resultados!$E$39*$B238-Resultados!$F$39*$B238-Premissas!$B$24-Resultados!$E$39*$B238*(Premissas!$B$14/100)</f>
        <v>29837.8</v>
      </c>
      <c r="M238" s="9" t="n">
        <f aca="false">L238-$C238</f>
        <v>29837.8</v>
      </c>
      <c r="N238" s="9" t="n">
        <f aca="false">N237+M238</f>
        <v>6556766.45999998</v>
      </c>
      <c r="O238" s="37" t="str">
        <f aca="false">IF(AND(N237&lt;0,N238&gt;=0,A238&lt;=MAX(120,Premissas!$B$15*12)),(A238-1)+(-N237)/M238,"")</f>
        <v/>
      </c>
      <c r="P238" s="9" t="n">
        <f aca="false">Resultados!$B$19*$B238-Resultados!$B$20*$B238-Premissas!$B$24-Resultados!$B$19*$B238*(Premissas!$B$14/100)</f>
        <v>24432.4</v>
      </c>
      <c r="Q238" s="9" t="n">
        <f aca="false">P238-$C238</f>
        <v>24432.4</v>
      </c>
      <c r="R238" s="9" t="n">
        <f aca="false">R237+Q238</f>
        <v>5309740.68000001</v>
      </c>
      <c r="S238" s="37" t="str">
        <f aca="false">IF(AND(R237&lt;0,R238&gt;=0,A238&lt;=MAX(120,Premissas!$B$15*12)),(A238-1)+(-R237)/Q238,"")</f>
        <v/>
      </c>
    </row>
    <row r="239" customFormat="false" ht="15" hidden="false" customHeight="false" outlineLevel="0" collapsed="false">
      <c r="A239" s="10" t="n">
        <f aca="false">A238+1</f>
        <v>235</v>
      </c>
      <c r="B239" s="36" t="n">
        <f aca="false">IF(Premissas!$B$9&lt;=1,1,MIN(1,Premissas!$B$8/100+(1-Premissas!$B$8/100)*(A239-1)/(Premissas!$B$9-1)))</f>
        <v>1</v>
      </c>
      <c r="C239" s="9" t="n">
        <f aca="false">IF(A239&lt;=Resultados!$B$9,Resultados!$B$10,0)</f>
        <v>0</v>
      </c>
      <c r="D239" s="9" t="n">
        <f aca="false">Resultados!$E$37*$B239-Resultados!$F$37*$B239-Premissas!$B$24-Resultados!$E$37*$B239*(Premissas!$B$14/100)</f>
        <v>19027</v>
      </c>
      <c r="E239" s="9" t="n">
        <f aca="false">D239-$C239</f>
        <v>19027</v>
      </c>
      <c r="F239" s="9" t="n">
        <f aca="false">F238+E239</f>
        <v>4081741.9</v>
      </c>
      <c r="G239" s="37" t="str">
        <f aca="false">IF(AND(F238&lt;0,F239&gt;=0,A239&lt;=MAX(120,Premissas!$B$15*12)),(A239-1)+(-F238)/E239,"")</f>
        <v/>
      </c>
      <c r="H239" s="9" t="n">
        <f aca="false">Resultados!$E$38*$B239-Resultados!$F$38*$B239-Premissas!$B$24-Resultados!$E$38*$B239*(Premissas!$B$14/100)</f>
        <v>24432.4</v>
      </c>
      <c r="I239" s="9" t="n">
        <f aca="false">H239-$C239</f>
        <v>24432.4</v>
      </c>
      <c r="J239" s="9" t="n">
        <f aca="false">J238+I239</f>
        <v>5334173.08000001</v>
      </c>
      <c r="K239" s="37" t="str">
        <f aca="false">IF(AND(J238&lt;0,J239&gt;=0,A239&lt;=MAX(120,Premissas!$B$15*12)),(A239-1)+(-J238)/I239,"")</f>
        <v/>
      </c>
      <c r="L239" s="9" t="n">
        <f aca="false">Resultados!$E$39*$B239-Resultados!$F$39*$B239-Premissas!$B$24-Resultados!$E$39*$B239*(Premissas!$B$14/100)</f>
        <v>29837.8</v>
      </c>
      <c r="M239" s="9" t="n">
        <f aca="false">L239-$C239</f>
        <v>29837.8</v>
      </c>
      <c r="N239" s="9" t="n">
        <f aca="false">N238+M239</f>
        <v>6586604.25999998</v>
      </c>
      <c r="O239" s="37" t="str">
        <f aca="false">IF(AND(N238&lt;0,N239&gt;=0,A239&lt;=MAX(120,Premissas!$B$15*12)),(A239-1)+(-N238)/M239,"")</f>
        <v/>
      </c>
      <c r="P239" s="9" t="n">
        <f aca="false">Resultados!$B$19*$B239-Resultados!$B$20*$B239-Premissas!$B$24-Resultados!$B$19*$B239*(Premissas!$B$14/100)</f>
        <v>24432.4</v>
      </c>
      <c r="Q239" s="9" t="n">
        <f aca="false">P239-$C239</f>
        <v>24432.4</v>
      </c>
      <c r="R239" s="9" t="n">
        <f aca="false">R238+Q239</f>
        <v>5334173.08000001</v>
      </c>
      <c r="S239" s="37" t="str">
        <f aca="false">IF(AND(R238&lt;0,R239&gt;=0,A239&lt;=MAX(120,Premissas!$B$15*12)),(A239-1)+(-R238)/Q239,"")</f>
        <v/>
      </c>
    </row>
    <row r="240" customFormat="false" ht="15" hidden="false" customHeight="false" outlineLevel="0" collapsed="false">
      <c r="A240" s="10" t="n">
        <f aca="false">A239+1</f>
        <v>236</v>
      </c>
      <c r="B240" s="36" t="n">
        <f aca="false">IF(Premissas!$B$9&lt;=1,1,MIN(1,Premissas!$B$8/100+(1-Premissas!$B$8/100)*(A240-1)/(Premissas!$B$9-1)))</f>
        <v>1</v>
      </c>
      <c r="C240" s="9" t="n">
        <f aca="false">IF(A240&lt;=Resultados!$B$9,Resultados!$B$10,0)</f>
        <v>0</v>
      </c>
      <c r="D240" s="9" t="n">
        <f aca="false">Resultados!$E$37*$B240-Resultados!$F$37*$B240-Premissas!$B$24-Resultados!$E$37*$B240*(Premissas!$B$14/100)</f>
        <v>19027</v>
      </c>
      <c r="E240" s="9" t="n">
        <f aca="false">D240-$C240</f>
        <v>19027</v>
      </c>
      <c r="F240" s="9" t="n">
        <f aca="false">F239+E240</f>
        <v>4100768.9</v>
      </c>
      <c r="G240" s="37" t="str">
        <f aca="false">IF(AND(F239&lt;0,F240&gt;=0,A240&lt;=MAX(120,Premissas!$B$15*12)),(A240-1)+(-F239)/E240,"")</f>
        <v/>
      </c>
      <c r="H240" s="9" t="n">
        <f aca="false">Resultados!$E$38*$B240-Resultados!$F$38*$B240-Premissas!$B$24-Resultados!$E$38*$B240*(Premissas!$B$14/100)</f>
        <v>24432.4</v>
      </c>
      <c r="I240" s="9" t="n">
        <f aca="false">H240-$C240</f>
        <v>24432.4</v>
      </c>
      <c r="J240" s="9" t="n">
        <f aca="false">J239+I240</f>
        <v>5358605.48000001</v>
      </c>
      <c r="K240" s="37" t="str">
        <f aca="false">IF(AND(J239&lt;0,J240&gt;=0,A240&lt;=MAX(120,Premissas!$B$15*12)),(A240-1)+(-J239)/I240,"")</f>
        <v/>
      </c>
      <c r="L240" s="9" t="n">
        <f aca="false">Resultados!$E$39*$B240-Resultados!$F$39*$B240-Premissas!$B$24-Resultados!$E$39*$B240*(Premissas!$B$14/100)</f>
        <v>29837.8</v>
      </c>
      <c r="M240" s="9" t="n">
        <f aca="false">L240-$C240</f>
        <v>29837.8</v>
      </c>
      <c r="N240" s="9" t="n">
        <f aca="false">N239+M240</f>
        <v>6616442.05999997</v>
      </c>
      <c r="O240" s="37" t="str">
        <f aca="false">IF(AND(N239&lt;0,N240&gt;=0,A240&lt;=MAX(120,Premissas!$B$15*12)),(A240-1)+(-N239)/M240,"")</f>
        <v/>
      </c>
      <c r="P240" s="9" t="n">
        <f aca="false">Resultados!$B$19*$B240-Resultados!$B$20*$B240-Premissas!$B$24-Resultados!$B$19*$B240*(Premissas!$B$14/100)</f>
        <v>24432.4</v>
      </c>
      <c r="Q240" s="9" t="n">
        <f aca="false">P240-$C240</f>
        <v>24432.4</v>
      </c>
      <c r="R240" s="9" t="n">
        <f aca="false">R239+Q240</f>
        <v>5358605.48000001</v>
      </c>
      <c r="S240" s="37" t="str">
        <f aca="false">IF(AND(R239&lt;0,R240&gt;=0,A240&lt;=MAX(120,Premissas!$B$15*12)),(A240-1)+(-R239)/Q240,"")</f>
        <v/>
      </c>
    </row>
    <row r="241" customFormat="false" ht="15" hidden="false" customHeight="false" outlineLevel="0" collapsed="false">
      <c r="A241" s="10" t="n">
        <f aca="false">A240+1</f>
        <v>237</v>
      </c>
      <c r="B241" s="36" t="n">
        <f aca="false">IF(Premissas!$B$9&lt;=1,1,MIN(1,Premissas!$B$8/100+(1-Premissas!$B$8/100)*(A241-1)/(Premissas!$B$9-1)))</f>
        <v>1</v>
      </c>
      <c r="C241" s="9" t="n">
        <f aca="false">IF(A241&lt;=Resultados!$B$9,Resultados!$B$10,0)</f>
        <v>0</v>
      </c>
      <c r="D241" s="9" t="n">
        <f aca="false">Resultados!$E$37*$B241-Resultados!$F$37*$B241-Premissas!$B$24-Resultados!$E$37*$B241*(Premissas!$B$14/100)</f>
        <v>19027</v>
      </c>
      <c r="E241" s="9" t="n">
        <f aca="false">D241-$C241</f>
        <v>19027</v>
      </c>
      <c r="F241" s="9" t="n">
        <f aca="false">F240+E241</f>
        <v>4119795.9</v>
      </c>
      <c r="G241" s="37" t="str">
        <f aca="false">IF(AND(F240&lt;0,F241&gt;=0,A241&lt;=MAX(120,Premissas!$B$15*12)),(A241-1)+(-F240)/E241,"")</f>
        <v/>
      </c>
      <c r="H241" s="9" t="n">
        <f aca="false">Resultados!$E$38*$B241-Resultados!$F$38*$B241-Premissas!$B$24-Resultados!$E$38*$B241*(Premissas!$B$14/100)</f>
        <v>24432.4</v>
      </c>
      <c r="I241" s="9" t="n">
        <f aca="false">H241-$C241</f>
        <v>24432.4</v>
      </c>
      <c r="J241" s="9" t="n">
        <f aca="false">J240+I241</f>
        <v>5383037.88000001</v>
      </c>
      <c r="K241" s="37" t="str">
        <f aca="false">IF(AND(J240&lt;0,J241&gt;=0,A241&lt;=MAX(120,Premissas!$B$15*12)),(A241-1)+(-J240)/I241,"")</f>
        <v/>
      </c>
      <c r="L241" s="9" t="n">
        <f aca="false">Resultados!$E$39*$B241-Resultados!$F$39*$B241-Premissas!$B$24-Resultados!$E$39*$B241*(Premissas!$B$14/100)</f>
        <v>29837.8</v>
      </c>
      <c r="M241" s="9" t="n">
        <f aca="false">L241-$C241</f>
        <v>29837.8</v>
      </c>
      <c r="N241" s="9" t="n">
        <f aca="false">N240+M241</f>
        <v>6646279.85999997</v>
      </c>
      <c r="O241" s="37" t="str">
        <f aca="false">IF(AND(N240&lt;0,N241&gt;=0,A241&lt;=MAX(120,Premissas!$B$15*12)),(A241-1)+(-N240)/M241,"")</f>
        <v/>
      </c>
      <c r="P241" s="9" t="n">
        <f aca="false">Resultados!$B$19*$B241-Resultados!$B$20*$B241-Premissas!$B$24-Resultados!$B$19*$B241*(Premissas!$B$14/100)</f>
        <v>24432.4</v>
      </c>
      <c r="Q241" s="9" t="n">
        <f aca="false">P241-$C241</f>
        <v>24432.4</v>
      </c>
      <c r="R241" s="9" t="n">
        <f aca="false">R240+Q241</f>
        <v>5383037.88000001</v>
      </c>
      <c r="S241" s="37" t="str">
        <f aca="false">IF(AND(R240&lt;0,R241&gt;=0,A241&lt;=MAX(120,Premissas!$B$15*12)),(A241-1)+(-R240)/Q241,"")</f>
        <v/>
      </c>
    </row>
    <row r="242" customFormat="false" ht="15" hidden="false" customHeight="false" outlineLevel="0" collapsed="false">
      <c r="A242" s="10" t="n">
        <f aca="false">A241+1</f>
        <v>238</v>
      </c>
      <c r="B242" s="36" t="n">
        <f aca="false">IF(Premissas!$B$9&lt;=1,1,MIN(1,Premissas!$B$8/100+(1-Premissas!$B$8/100)*(A242-1)/(Premissas!$B$9-1)))</f>
        <v>1</v>
      </c>
      <c r="C242" s="9" t="n">
        <f aca="false">IF(A242&lt;=Resultados!$B$9,Resultados!$B$10,0)</f>
        <v>0</v>
      </c>
      <c r="D242" s="9" t="n">
        <f aca="false">Resultados!$E$37*$B242-Resultados!$F$37*$B242-Premissas!$B$24-Resultados!$E$37*$B242*(Premissas!$B$14/100)</f>
        <v>19027</v>
      </c>
      <c r="E242" s="9" t="n">
        <f aca="false">D242-$C242</f>
        <v>19027</v>
      </c>
      <c r="F242" s="9" t="n">
        <f aca="false">F241+E242</f>
        <v>4138822.9</v>
      </c>
      <c r="G242" s="37" t="str">
        <f aca="false">IF(AND(F241&lt;0,F242&gt;=0,A242&lt;=MAX(120,Premissas!$B$15*12)),(A242-1)+(-F241)/E242,"")</f>
        <v/>
      </c>
      <c r="H242" s="9" t="n">
        <f aca="false">Resultados!$E$38*$B242-Resultados!$F$38*$B242-Premissas!$B$24-Resultados!$E$38*$B242*(Premissas!$B$14/100)</f>
        <v>24432.4</v>
      </c>
      <c r="I242" s="9" t="n">
        <f aca="false">H242-$C242</f>
        <v>24432.4</v>
      </c>
      <c r="J242" s="9" t="n">
        <f aca="false">J241+I242</f>
        <v>5407470.28000001</v>
      </c>
      <c r="K242" s="37" t="str">
        <f aca="false">IF(AND(J241&lt;0,J242&gt;=0,A242&lt;=MAX(120,Premissas!$B$15*12)),(A242-1)+(-J241)/I242,"")</f>
        <v/>
      </c>
      <c r="L242" s="9" t="n">
        <f aca="false">Resultados!$E$39*$B242-Resultados!$F$39*$B242-Premissas!$B$24-Resultados!$E$39*$B242*(Premissas!$B$14/100)</f>
        <v>29837.8</v>
      </c>
      <c r="M242" s="9" t="n">
        <f aca="false">L242-$C242</f>
        <v>29837.8</v>
      </c>
      <c r="N242" s="9" t="n">
        <f aca="false">N241+M242</f>
        <v>6676117.65999997</v>
      </c>
      <c r="O242" s="37" t="str">
        <f aca="false">IF(AND(N241&lt;0,N242&gt;=0,A242&lt;=MAX(120,Premissas!$B$15*12)),(A242-1)+(-N241)/M242,"")</f>
        <v/>
      </c>
      <c r="P242" s="9" t="n">
        <f aca="false">Resultados!$B$19*$B242-Resultados!$B$20*$B242-Premissas!$B$24-Resultados!$B$19*$B242*(Premissas!$B$14/100)</f>
        <v>24432.4</v>
      </c>
      <c r="Q242" s="9" t="n">
        <f aca="false">P242-$C242</f>
        <v>24432.4</v>
      </c>
      <c r="R242" s="9" t="n">
        <f aca="false">R241+Q242</f>
        <v>5407470.28000001</v>
      </c>
      <c r="S242" s="37" t="str">
        <f aca="false">IF(AND(R241&lt;0,R242&gt;=0,A242&lt;=MAX(120,Premissas!$B$15*12)),(A242-1)+(-R241)/Q242,"")</f>
        <v/>
      </c>
    </row>
    <row r="243" customFormat="false" ht="15" hidden="false" customHeight="false" outlineLevel="0" collapsed="false">
      <c r="A243" s="10" t="n">
        <f aca="false">A242+1</f>
        <v>239</v>
      </c>
      <c r="B243" s="36" t="n">
        <f aca="false">IF(Premissas!$B$9&lt;=1,1,MIN(1,Premissas!$B$8/100+(1-Premissas!$B$8/100)*(A243-1)/(Premissas!$B$9-1)))</f>
        <v>1</v>
      </c>
      <c r="C243" s="9" t="n">
        <f aca="false">IF(A243&lt;=Resultados!$B$9,Resultados!$B$10,0)</f>
        <v>0</v>
      </c>
      <c r="D243" s="9" t="n">
        <f aca="false">Resultados!$E$37*$B243-Resultados!$F$37*$B243-Premissas!$B$24-Resultados!$E$37*$B243*(Premissas!$B$14/100)</f>
        <v>19027</v>
      </c>
      <c r="E243" s="9" t="n">
        <f aca="false">D243-$C243</f>
        <v>19027</v>
      </c>
      <c r="F243" s="9" t="n">
        <f aca="false">F242+E243</f>
        <v>4157849.9</v>
      </c>
      <c r="G243" s="37" t="str">
        <f aca="false">IF(AND(F242&lt;0,F243&gt;=0,A243&lt;=MAX(120,Premissas!$B$15*12)),(A243-1)+(-F242)/E243,"")</f>
        <v/>
      </c>
      <c r="H243" s="9" t="n">
        <f aca="false">Resultados!$E$38*$B243-Resultados!$F$38*$B243-Premissas!$B$24-Resultados!$E$38*$B243*(Premissas!$B$14/100)</f>
        <v>24432.4</v>
      </c>
      <c r="I243" s="9" t="n">
        <f aca="false">H243-$C243</f>
        <v>24432.4</v>
      </c>
      <c r="J243" s="9" t="n">
        <f aca="false">J242+I243</f>
        <v>5431902.68000001</v>
      </c>
      <c r="K243" s="37" t="str">
        <f aca="false">IF(AND(J242&lt;0,J243&gt;=0,A243&lt;=MAX(120,Premissas!$B$15*12)),(A243-1)+(-J242)/I243,"")</f>
        <v/>
      </c>
      <c r="L243" s="9" t="n">
        <f aca="false">Resultados!$E$39*$B243-Resultados!$F$39*$B243-Premissas!$B$24-Resultados!$E$39*$B243*(Premissas!$B$14/100)</f>
        <v>29837.8</v>
      </c>
      <c r="M243" s="9" t="n">
        <f aca="false">L243-$C243</f>
        <v>29837.8</v>
      </c>
      <c r="N243" s="9" t="n">
        <f aca="false">N242+M243</f>
        <v>6705955.45999997</v>
      </c>
      <c r="O243" s="37" t="str">
        <f aca="false">IF(AND(N242&lt;0,N243&gt;=0,A243&lt;=MAX(120,Premissas!$B$15*12)),(A243-1)+(-N242)/M243,"")</f>
        <v/>
      </c>
      <c r="P243" s="9" t="n">
        <f aca="false">Resultados!$B$19*$B243-Resultados!$B$20*$B243-Premissas!$B$24-Resultados!$B$19*$B243*(Premissas!$B$14/100)</f>
        <v>24432.4</v>
      </c>
      <c r="Q243" s="9" t="n">
        <f aca="false">P243-$C243</f>
        <v>24432.4</v>
      </c>
      <c r="R243" s="9" t="n">
        <f aca="false">R242+Q243</f>
        <v>5431902.68000001</v>
      </c>
      <c r="S243" s="37" t="str">
        <f aca="false">IF(AND(R242&lt;0,R243&gt;=0,A243&lt;=MAX(120,Premissas!$B$15*12)),(A243-1)+(-R242)/Q243,"")</f>
        <v/>
      </c>
    </row>
    <row r="244" customFormat="false" ht="15" hidden="false" customHeight="false" outlineLevel="0" collapsed="false">
      <c r="A244" s="10" t="n">
        <f aca="false">A243+1</f>
        <v>240</v>
      </c>
      <c r="B244" s="36" t="n">
        <f aca="false">IF(Premissas!$B$9&lt;=1,1,MIN(1,Premissas!$B$8/100+(1-Premissas!$B$8/100)*(A244-1)/(Premissas!$B$9-1)))</f>
        <v>1</v>
      </c>
      <c r="C244" s="9" t="n">
        <f aca="false">IF(A244&lt;=Resultados!$B$9,Resultados!$B$10,0)</f>
        <v>0</v>
      </c>
      <c r="D244" s="9" t="n">
        <f aca="false">Resultados!$E$37*$B244-Resultados!$F$37*$B244-Premissas!$B$24-Resultados!$E$37*$B244*(Premissas!$B$14/100)</f>
        <v>19027</v>
      </c>
      <c r="E244" s="9" t="n">
        <f aca="false">D244-$C244</f>
        <v>19027</v>
      </c>
      <c r="F244" s="9" t="n">
        <f aca="false">F243+E244</f>
        <v>4176876.9</v>
      </c>
      <c r="G244" s="37" t="str">
        <f aca="false">IF(AND(F243&lt;0,F244&gt;=0,A244&lt;=MAX(120,Premissas!$B$15*12)),(A244-1)+(-F243)/E244,"")</f>
        <v/>
      </c>
      <c r="H244" s="9" t="n">
        <f aca="false">Resultados!$E$38*$B244-Resultados!$F$38*$B244-Premissas!$B$24-Resultados!$E$38*$B244*(Premissas!$B$14/100)</f>
        <v>24432.4</v>
      </c>
      <c r="I244" s="9" t="n">
        <f aca="false">H244-$C244</f>
        <v>24432.4</v>
      </c>
      <c r="J244" s="9" t="n">
        <f aca="false">J243+I244</f>
        <v>5456335.08000001</v>
      </c>
      <c r="K244" s="37" t="str">
        <f aca="false">IF(AND(J243&lt;0,J244&gt;=0,A244&lt;=MAX(120,Premissas!$B$15*12)),(A244-1)+(-J243)/I244,"")</f>
        <v/>
      </c>
      <c r="L244" s="9" t="n">
        <f aca="false">Resultados!$E$39*$B244-Resultados!$F$39*$B244-Premissas!$B$24-Resultados!$E$39*$B244*(Premissas!$B$14/100)</f>
        <v>29837.8</v>
      </c>
      <c r="M244" s="9" t="n">
        <f aca="false">L244-$C244</f>
        <v>29837.8</v>
      </c>
      <c r="N244" s="9" t="n">
        <f aca="false">N243+M244</f>
        <v>6735793.25999997</v>
      </c>
      <c r="O244" s="37" t="str">
        <f aca="false">IF(AND(N243&lt;0,N244&gt;=0,A244&lt;=MAX(120,Premissas!$B$15*12)),(A244-1)+(-N243)/M244,"")</f>
        <v/>
      </c>
      <c r="P244" s="9" t="n">
        <f aca="false">Resultados!$B$19*$B244-Resultados!$B$20*$B244-Premissas!$B$24-Resultados!$B$19*$B244*(Premissas!$B$14/100)</f>
        <v>24432.4</v>
      </c>
      <c r="Q244" s="9" t="n">
        <f aca="false">P244-$C244</f>
        <v>24432.4</v>
      </c>
      <c r="R244" s="9" t="n">
        <f aca="false">R243+Q244</f>
        <v>5456335.08000001</v>
      </c>
      <c r="S244" s="37" t="str">
        <f aca="false">IF(AND(R243&lt;0,R244&gt;=0,A244&lt;=MAX(120,Premissas!$B$15*12)),(A244-1)+(-R243)/Q244,"")</f>
        <v/>
      </c>
    </row>
    <row r="245" customFormat="false" ht="15" hidden="false" customHeight="false" outlineLevel="0" collapsed="false">
      <c r="A245" s="10" t="n">
        <f aca="false">A244+1</f>
        <v>241</v>
      </c>
      <c r="B245" s="36" t="n">
        <f aca="false">IF(Premissas!$B$9&lt;=1,1,MIN(1,Premissas!$B$8/100+(1-Premissas!$B$8/100)*(A245-1)/(Premissas!$B$9-1)))</f>
        <v>1</v>
      </c>
      <c r="C245" s="9" t="n">
        <f aca="false">IF(A245&lt;=Resultados!$B$9,Resultados!$B$10,0)</f>
        <v>0</v>
      </c>
      <c r="D245" s="9" t="n">
        <f aca="false">Resultados!$E$37*$B245-Resultados!$F$37*$B245-Premissas!$B$24-Resultados!$E$37*$B245*(Premissas!$B$14/100)</f>
        <v>19027</v>
      </c>
      <c r="E245" s="9" t="n">
        <f aca="false">D245-$C245</f>
        <v>19027</v>
      </c>
      <c r="F245" s="9" t="n">
        <f aca="false">F244+E245</f>
        <v>4195903.9</v>
      </c>
      <c r="G245" s="37" t="str">
        <f aca="false">IF(AND(F244&lt;0,F245&gt;=0,A245&lt;=MAX(120,Premissas!$B$15*12)),(A245-1)+(-F244)/E245,"")</f>
        <v/>
      </c>
      <c r="H245" s="9" t="n">
        <f aca="false">Resultados!$E$38*$B245-Resultados!$F$38*$B245-Premissas!$B$24-Resultados!$E$38*$B245*(Premissas!$B$14/100)</f>
        <v>24432.4</v>
      </c>
      <c r="I245" s="9" t="n">
        <f aca="false">H245-$C245</f>
        <v>24432.4</v>
      </c>
      <c r="J245" s="9" t="n">
        <f aca="false">J244+I245</f>
        <v>5480767.48000001</v>
      </c>
      <c r="K245" s="37" t="str">
        <f aca="false">IF(AND(J244&lt;0,J245&gt;=0,A245&lt;=MAX(120,Premissas!$B$15*12)),(A245-1)+(-J244)/I245,"")</f>
        <v/>
      </c>
      <c r="L245" s="9" t="n">
        <f aca="false">Resultados!$E$39*$B245-Resultados!$F$39*$B245-Premissas!$B$24-Resultados!$E$39*$B245*(Premissas!$B$14/100)</f>
        <v>29837.8</v>
      </c>
      <c r="M245" s="9" t="n">
        <f aca="false">L245-$C245</f>
        <v>29837.8</v>
      </c>
      <c r="N245" s="9" t="n">
        <f aca="false">N244+M245</f>
        <v>6765631.05999997</v>
      </c>
      <c r="O245" s="37" t="str">
        <f aca="false">IF(AND(N244&lt;0,N245&gt;=0,A245&lt;=MAX(120,Premissas!$B$15*12)),(A245-1)+(-N244)/M245,"")</f>
        <v/>
      </c>
      <c r="P245" s="9" t="n">
        <f aca="false">Resultados!$B$19*$B245-Resultados!$B$20*$B245-Premissas!$B$24-Resultados!$B$19*$B245*(Premissas!$B$14/100)</f>
        <v>24432.4</v>
      </c>
      <c r="Q245" s="9" t="n">
        <f aca="false">P245-$C245</f>
        <v>24432.4</v>
      </c>
      <c r="R245" s="9" t="n">
        <f aca="false">R244+Q245</f>
        <v>5480767.48000001</v>
      </c>
      <c r="S245" s="37" t="str">
        <f aca="false">IF(AND(R244&lt;0,R245&gt;=0,A245&lt;=MAX(120,Premissas!$B$15*12)),(A245-1)+(-R244)/Q245,"")</f>
        <v/>
      </c>
    </row>
    <row r="246" customFormat="false" ht="15" hidden="false" customHeight="false" outlineLevel="0" collapsed="false">
      <c r="A246" s="10" t="n">
        <f aca="false">A245+1</f>
        <v>242</v>
      </c>
      <c r="B246" s="36" t="n">
        <f aca="false">IF(Premissas!$B$9&lt;=1,1,MIN(1,Premissas!$B$8/100+(1-Premissas!$B$8/100)*(A246-1)/(Premissas!$B$9-1)))</f>
        <v>1</v>
      </c>
      <c r="C246" s="9" t="n">
        <f aca="false">IF(A246&lt;=Resultados!$B$9,Resultados!$B$10,0)</f>
        <v>0</v>
      </c>
      <c r="D246" s="9" t="n">
        <f aca="false">Resultados!$E$37*$B246-Resultados!$F$37*$B246-Premissas!$B$24-Resultados!$E$37*$B246*(Premissas!$B$14/100)</f>
        <v>19027</v>
      </c>
      <c r="E246" s="9" t="n">
        <f aca="false">D246-$C246</f>
        <v>19027</v>
      </c>
      <c r="F246" s="9" t="n">
        <f aca="false">F245+E246</f>
        <v>4214930.9</v>
      </c>
      <c r="G246" s="37" t="str">
        <f aca="false">IF(AND(F245&lt;0,F246&gt;=0,A246&lt;=MAX(120,Premissas!$B$15*12)),(A246-1)+(-F245)/E246,"")</f>
        <v/>
      </c>
      <c r="H246" s="9" t="n">
        <f aca="false">Resultados!$E$38*$B246-Resultados!$F$38*$B246-Premissas!$B$24-Resultados!$E$38*$B246*(Premissas!$B$14/100)</f>
        <v>24432.4</v>
      </c>
      <c r="I246" s="9" t="n">
        <f aca="false">H246-$C246</f>
        <v>24432.4</v>
      </c>
      <c r="J246" s="9" t="n">
        <f aca="false">J245+I246</f>
        <v>5505199.88000001</v>
      </c>
      <c r="K246" s="37" t="str">
        <f aca="false">IF(AND(J245&lt;0,J246&gt;=0,A246&lt;=MAX(120,Premissas!$B$15*12)),(A246-1)+(-J245)/I246,"")</f>
        <v/>
      </c>
      <c r="L246" s="9" t="n">
        <f aca="false">Resultados!$E$39*$B246-Resultados!$F$39*$B246-Premissas!$B$24-Resultados!$E$39*$B246*(Premissas!$B$14/100)</f>
        <v>29837.8</v>
      </c>
      <c r="M246" s="9" t="n">
        <f aca="false">L246-$C246</f>
        <v>29837.8</v>
      </c>
      <c r="N246" s="9" t="n">
        <f aca="false">N245+M246</f>
        <v>6795468.85999997</v>
      </c>
      <c r="O246" s="37" t="str">
        <f aca="false">IF(AND(N245&lt;0,N246&gt;=0,A246&lt;=MAX(120,Premissas!$B$15*12)),(A246-1)+(-N245)/M246,"")</f>
        <v/>
      </c>
      <c r="P246" s="9" t="n">
        <f aca="false">Resultados!$B$19*$B246-Resultados!$B$20*$B246-Premissas!$B$24-Resultados!$B$19*$B246*(Premissas!$B$14/100)</f>
        <v>24432.4</v>
      </c>
      <c r="Q246" s="9" t="n">
        <f aca="false">P246-$C246</f>
        <v>24432.4</v>
      </c>
      <c r="R246" s="9" t="n">
        <f aca="false">R245+Q246</f>
        <v>5505199.88000001</v>
      </c>
      <c r="S246" s="37" t="str">
        <f aca="false">IF(AND(R245&lt;0,R246&gt;=0,A246&lt;=MAX(120,Premissas!$B$15*12)),(A246-1)+(-R245)/Q246,"")</f>
        <v/>
      </c>
    </row>
    <row r="247" customFormat="false" ht="15" hidden="false" customHeight="false" outlineLevel="0" collapsed="false">
      <c r="A247" s="10" t="n">
        <f aca="false">A246+1</f>
        <v>243</v>
      </c>
      <c r="B247" s="36" t="n">
        <f aca="false">IF(Premissas!$B$9&lt;=1,1,MIN(1,Premissas!$B$8/100+(1-Premissas!$B$8/100)*(A247-1)/(Premissas!$B$9-1)))</f>
        <v>1</v>
      </c>
      <c r="C247" s="9" t="n">
        <f aca="false">IF(A247&lt;=Resultados!$B$9,Resultados!$B$10,0)</f>
        <v>0</v>
      </c>
      <c r="D247" s="9" t="n">
        <f aca="false">Resultados!$E$37*$B247-Resultados!$F$37*$B247-Premissas!$B$24-Resultados!$E$37*$B247*(Premissas!$B$14/100)</f>
        <v>19027</v>
      </c>
      <c r="E247" s="9" t="n">
        <f aca="false">D247-$C247</f>
        <v>19027</v>
      </c>
      <c r="F247" s="9" t="n">
        <f aca="false">F246+E247</f>
        <v>4233957.9</v>
      </c>
      <c r="G247" s="37" t="str">
        <f aca="false">IF(AND(F246&lt;0,F247&gt;=0,A247&lt;=MAX(120,Premissas!$B$15*12)),(A247-1)+(-F246)/E247,"")</f>
        <v/>
      </c>
      <c r="H247" s="9" t="n">
        <f aca="false">Resultados!$E$38*$B247-Resultados!$F$38*$B247-Premissas!$B$24-Resultados!$E$38*$B247*(Premissas!$B$14/100)</f>
        <v>24432.4</v>
      </c>
      <c r="I247" s="9" t="n">
        <f aca="false">H247-$C247</f>
        <v>24432.4</v>
      </c>
      <c r="J247" s="9" t="n">
        <f aca="false">J246+I247</f>
        <v>5529632.28000001</v>
      </c>
      <c r="K247" s="37" t="str">
        <f aca="false">IF(AND(J246&lt;0,J247&gt;=0,A247&lt;=MAX(120,Premissas!$B$15*12)),(A247-1)+(-J246)/I247,"")</f>
        <v/>
      </c>
      <c r="L247" s="9" t="n">
        <f aca="false">Resultados!$E$39*$B247-Resultados!$F$39*$B247-Premissas!$B$24-Resultados!$E$39*$B247*(Premissas!$B$14/100)</f>
        <v>29837.8</v>
      </c>
      <c r="M247" s="9" t="n">
        <f aca="false">L247-$C247</f>
        <v>29837.8</v>
      </c>
      <c r="N247" s="9" t="n">
        <f aca="false">N246+M247</f>
        <v>6825306.65999997</v>
      </c>
      <c r="O247" s="37" t="str">
        <f aca="false">IF(AND(N246&lt;0,N247&gt;=0,A247&lt;=MAX(120,Premissas!$B$15*12)),(A247-1)+(-N246)/M247,"")</f>
        <v/>
      </c>
      <c r="P247" s="9" t="n">
        <f aca="false">Resultados!$B$19*$B247-Resultados!$B$20*$B247-Premissas!$B$24-Resultados!$B$19*$B247*(Premissas!$B$14/100)</f>
        <v>24432.4</v>
      </c>
      <c r="Q247" s="9" t="n">
        <f aca="false">P247-$C247</f>
        <v>24432.4</v>
      </c>
      <c r="R247" s="9" t="n">
        <f aca="false">R246+Q247</f>
        <v>5529632.28000001</v>
      </c>
      <c r="S247" s="37" t="str">
        <f aca="false">IF(AND(R246&lt;0,R247&gt;=0,A247&lt;=MAX(120,Premissas!$B$15*12)),(A247-1)+(-R246)/Q247,"")</f>
        <v/>
      </c>
    </row>
    <row r="248" customFormat="false" ht="15" hidden="false" customHeight="false" outlineLevel="0" collapsed="false">
      <c r="A248" s="10" t="n">
        <f aca="false">A247+1</f>
        <v>244</v>
      </c>
      <c r="B248" s="36" t="n">
        <f aca="false">IF(Premissas!$B$9&lt;=1,1,MIN(1,Premissas!$B$8/100+(1-Premissas!$B$8/100)*(A248-1)/(Premissas!$B$9-1)))</f>
        <v>1</v>
      </c>
      <c r="C248" s="9" t="n">
        <f aca="false">IF(A248&lt;=Resultados!$B$9,Resultados!$B$10,0)</f>
        <v>0</v>
      </c>
      <c r="D248" s="9" t="n">
        <f aca="false">Resultados!$E$37*$B248-Resultados!$F$37*$B248-Premissas!$B$24-Resultados!$E$37*$B248*(Premissas!$B$14/100)</f>
        <v>19027</v>
      </c>
      <c r="E248" s="9" t="n">
        <f aca="false">D248-$C248</f>
        <v>19027</v>
      </c>
      <c r="F248" s="9" t="n">
        <f aca="false">F247+E248</f>
        <v>4252984.9</v>
      </c>
      <c r="G248" s="37" t="str">
        <f aca="false">IF(AND(F247&lt;0,F248&gt;=0,A248&lt;=MAX(120,Premissas!$B$15*12)),(A248-1)+(-F247)/E248,"")</f>
        <v/>
      </c>
      <c r="H248" s="9" t="n">
        <f aca="false">Resultados!$E$38*$B248-Resultados!$F$38*$B248-Premissas!$B$24-Resultados!$E$38*$B248*(Premissas!$B$14/100)</f>
        <v>24432.4</v>
      </c>
      <c r="I248" s="9" t="n">
        <f aca="false">H248-$C248</f>
        <v>24432.4</v>
      </c>
      <c r="J248" s="9" t="n">
        <f aca="false">J247+I248</f>
        <v>5554064.68000001</v>
      </c>
      <c r="K248" s="37" t="str">
        <f aca="false">IF(AND(J247&lt;0,J248&gt;=0,A248&lt;=MAX(120,Premissas!$B$15*12)),(A248-1)+(-J247)/I248,"")</f>
        <v/>
      </c>
      <c r="L248" s="9" t="n">
        <f aca="false">Resultados!$E$39*$B248-Resultados!$F$39*$B248-Premissas!$B$24-Resultados!$E$39*$B248*(Premissas!$B$14/100)</f>
        <v>29837.8</v>
      </c>
      <c r="M248" s="9" t="n">
        <f aca="false">L248-$C248</f>
        <v>29837.8</v>
      </c>
      <c r="N248" s="9" t="n">
        <f aca="false">N247+M248</f>
        <v>6855144.45999997</v>
      </c>
      <c r="O248" s="37" t="str">
        <f aca="false">IF(AND(N247&lt;0,N248&gt;=0,A248&lt;=MAX(120,Premissas!$B$15*12)),(A248-1)+(-N247)/M248,"")</f>
        <v/>
      </c>
      <c r="P248" s="9" t="n">
        <f aca="false">Resultados!$B$19*$B248-Resultados!$B$20*$B248-Premissas!$B$24-Resultados!$B$19*$B248*(Premissas!$B$14/100)</f>
        <v>24432.4</v>
      </c>
      <c r="Q248" s="9" t="n">
        <f aca="false">P248-$C248</f>
        <v>24432.4</v>
      </c>
      <c r="R248" s="9" t="n">
        <f aca="false">R247+Q248</f>
        <v>5554064.68000001</v>
      </c>
      <c r="S248" s="37" t="str">
        <f aca="false">IF(AND(R247&lt;0,R248&gt;=0,A248&lt;=MAX(120,Premissas!$B$15*12)),(A248-1)+(-R247)/Q248,"")</f>
        <v/>
      </c>
    </row>
    <row r="249" customFormat="false" ht="15" hidden="false" customHeight="false" outlineLevel="0" collapsed="false">
      <c r="A249" s="10" t="n">
        <f aca="false">A248+1</f>
        <v>245</v>
      </c>
      <c r="B249" s="36" t="n">
        <f aca="false">IF(Premissas!$B$9&lt;=1,1,MIN(1,Premissas!$B$8/100+(1-Premissas!$B$8/100)*(A249-1)/(Premissas!$B$9-1)))</f>
        <v>1</v>
      </c>
      <c r="C249" s="9" t="n">
        <f aca="false">IF(A249&lt;=Resultados!$B$9,Resultados!$B$10,0)</f>
        <v>0</v>
      </c>
      <c r="D249" s="9" t="n">
        <f aca="false">Resultados!$E$37*$B249-Resultados!$F$37*$B249-Premissas!$B$24-Resultados!$E$37*$B249*(Premissas!$B$14/100)</f>
        <v>19027</v>
      </c>
      <c r="E249" s="9" t="n">
        <f aca="false">D249-$C249</f>
        <v>19027</v>
      </c>
      <c r="F249" s="9" t="n">
        <f aca="false">F248+E249</f>
        <v>4272011.9</v>
      </c>
      <c r="G249" s="37" t="str">
        <f aca="false">IF(AND(F248&lt;0,F249&gt;=0,A249&lt;=MAX(120,Premissas!$B$15*12)),(A249-1)+(-F248)/E249,"")</f>
        <v/>
      </c>
      <c r="H249" s="9" t="n">
        <f aca="false">Resultados!$E$38*$B249-Resultados!$F$38*$B249-Premissas!$B$24-Resultados!$E$38*$B249*(Premissas!$B$14/100)</f>
        <v>24432.4</v>
      </c>
      <c r="I249" s="9" t="n">
        <f aca="false">H249-$C249</f>
        <v>24432.4</v>
      </c>
      <c r="J249" s="9" t="n">
        <f aca="false">J248+I249</f>
        <v>5578497.08000001</v>
      </c>
      <c r="K249" s="37" t="str">
        <f aca="false">IF(AND(J248&lt;0,J249&gt;=0,A249&lt;=MAX(120,Premissas!$B$15*12)),(A249-1)+(-J248)/I249,"")</f>
        <v/>
      </c>
      <c r="L249" s="9" t="n">
        <f aca="false">Resultados!$E$39*$B249-Resultados!$F$39*$B249-Premissas!$B$24-Resultados!$E$39*$B249*(Premissas!$B$14/100)</f>
        <v>29837.8</v>
      </c>
      <c r="M249" s="9" t="n">
        <f aca="false">L249-$C249</f>
        <v>29837.8</v>
      </c>
      <c r="N249" s="9" t="n">
        <f aca="false">N248+M249</f>
        <v>6884982.25999997</v>
      </c>
      <c r="O249" s="37" t="str">
        <f aca="false">IF(AND(N248&lt;0,N249&gt;=0,A249&lt;=MAX(120,Premissas!$B$15*12)),(A249-1)+(-N248)/M249,"")</f>
        <v/>
      </c>
      <c r="P249" s="9" t="n">
        <f aca="false">Resultados!$B$19*$B249-Resultados!$B$20*$B249-Premissas!$B$24-Resultados!$B$19*$B249*(Premissas!$B$14/100)</f>
        <v>24432.4</v>
      </c>
      <c r="Q249" s="9" t="n">
        <f aca="false">P249-$C249</f>
        <v>24432.4</v>
      </c>
      <c r="R249" s="9" t="n">
        <f aca="false">R248+Q249</f>
        <v>5578497.08000001</v>
      </c>
      <c r="S249" s="37" t="str">
        <f aca="false">IF(AND(R248&lt;0,R249&gt;=0,A249&lt;=MAX(120,Premissas!$B$15*12)),(A249-1)+(-R248)/Q249,"")</f>
        <v/>
      </c>
    </row>
    <row r="250" customFormat="false" ht="15" hidden="false" customHeight="false" outlineLevel="0" collapsed="false">
      <c r="A250" s="10" t="n">
        <f aca="false">A249+1</f>
        <v>246</v>
      </c>
      <c r="B250" s="36" t="n">
        <f aca="false">IF(Premissas!$B$9&lt;=1,1,MIN(1,Premissas!$B$8/100+(1-Premissas!$B$8/100)*(A250-1)/(Premissas!$B$9-1)))</f>
        <v>1</v>
      </c>
      <c r="C250" s="9" t="n">
        <f aca="false">IF(A250&lt;=Resultados!$B$9,Resultados!$B$10,0)</f>
        <v>0</v>
      </c>
      <c r="D250" s="9" t="n">
        <f aca="false">Resultados!$E$37*$B250-Resultados!$F$37*$B250-Premissas!$B$24-Resultados!$E$37*$B250*(Premissas!$B$14/100)</f>
        <v>19027</v>
      </c>
      <c r="E250" s="9" t="n">
        <f aca="false">D250-$C250</f>
        <v>19027</v>
      </c>
      <c r="F250" s="9" t="n">
        <f aca="false">F249+E250</f>
        <v>4291038.9</v>
      </c>
      <c r="G250" s="37" t="str">
        <f aca="false">IF(AND(F249&lt;0,F250&gt;=0,A250&lt;=MAX(120,Premissas!$B$15*12)),(A250-1)+(-F249)/E250,"")</f>
        <v/>
      </c>
      <c r="H250" s="9" t="n">
        <f aca="false">Resultados!$E$38*$B250-Resultados!$F$38*$B250-Premissas!$B$24-Resultados!$E$38*$B250*(Premissas!$B$14/100)</f>
        <v>24432.4</v>
      </c>
      <c r="I250" s="9" t="n">
        <f aca="false">H250-$C250</f>
        <v>24432.4</v>
      </c>
      <c r="J250" s="9" t="n">
        <f aca="false">J249+I250</f>
        <v>5602929.48000001</v>
      </c>
      <c r="K250" s="37" t="str">
        <f aca="false">IF(AND(J249&lt;0,J250&gt;=0,A250&lt;=MAX(120,Premissas!$B$15*12)),(A250-1)+(-J249)/I250,"")</f>
        <v/>
      </c>
      <c r="L250" s="9" t="n">
        <f aca="false">Resultados!$E$39*$B250-Resultados!$F$39*$B250-Premissas!$B$24-Resultados!$E$39*$B250*(Premissas!$B$14/100)</f>
        <v>29837.8</v>
      </c>
      <c r="M250" s="9" t="n">
        <f aca="false">L250-$C250</f>
        <v>29837.8</v>
      </c>
      <c r="N250" s="9" t="n">
        <f aca="false">N249+M250</f>
        <v>6914820.05999997</v>
      </c>
      <c r="O250" s="37" t="str">
        <f aca="false">IF(AND(N249&lt;0,N250&gt;=0,A250&lt;=MAX(120,Premissas!$B$15*12)),(A250-1)+(-N249)/M250,"")</f>
        <v/>
      </c>
      <c r="P250" s="9" t="n">
        <f aca="false">Resultados!$B$19*$B250-Resultados!$B$20*$B250-Premissas!$B$24-Resultados!$B$19*$B250*(Premissas!$B$14/100)</f>
        <v>24432.4</v>
      </c>
      <c r="Q250" s="9" t="n">
        <f aca="false">P250-$C250</f>
        <v>24432.4</v>
      </c>
      <c r="R250" s="9" t="n">
        <f aca="false">R249+Q250</f>
        <v>5602929.48000001</v>
      </c>
      <c r="S250" s="37" t="str">
        <f aca="false">IF(AND(R249&lt;0,R250&gt;=0,A250&lt;=MAX(120,Premissas!$B$15*12)),(A250-1)+(-R249)/Q250,"")</f>
        <v/>
      </c>
    </row>
    <row r="251" customFormat="false" ht="15" hidden="false" customHeight="false" outlineLevel="0" collapsed="false">
      <c r="A251" s="10" t="n">
        <f aca="false">A250+1</f>
        <v>247</v>
      </c>
      <c r="B251" s="36" t="n">
        <f aca="false">IF(Premissas!$B$9&lt;=1,1,MIN(1,Premissas!$B$8/100+(1-Premissas!$B$8/100)*(A251-1)/(Premissas!$B$9-1)))</f>
        <v>1</v>
      </c>
      <c r="C251" s="9" t="n">
        <f aca="false">IF(A251&lt;=Resultados!$B$9,Resultados!$B$10,0)</f>
        <v>0</v>
      </c>
      <c r="D251" s="9" t="n">
        <f aca="false">Resultados!$E$37*$B251-Resultados!$F$37*$B251-Premissas!$B$24-Resultados!$E$37*$B251*(Premissas!$B$14/100)</f>
        <v>19027</v>
      </c>
      <c r="E251" s="9" t="n">
        <f aca="false">D251-$C251</f>
        <v>19027</v>
      </c>
      <c r="F251" s="9" t="n">
        <f aca="false">F250+E251</f>
        <v>4310065.9</v>
      </c>
      <c r="G251" s="37" t="str">
        <f aca="false">IF(AND(F250&lt;0,F251&gt;=0,A251&lt;=MAX(120,Premissas!$B$15*12)),(A251-1)+(-F250)/E251,"")</f>
        <v/>
      </c>
      <c r="H251" s="9" t="n">
        <f aca="false">Resultados!$E$38*$B251-Resultados!$F$38*$B251-Premissas!$B$24-Resultados!$E$38*$B251*(Premissas!$B$14/100)</f>
        <v>24432.4</v>
      </c>
      <c r="I251" s="9" t="n">
        <f aca="false">H251-$C251</f>
        <v>24432.4</v>
      </c>
      <c r="J251" s="9" t="n">
        <f aca="false">J250+I251</f>
        <v>5627361.88000001</v>
      </c>
      <c r="K251" s="37" t="str">
        <f aca="false">IF(AND(J250&lt;0,J251&gt;=0,A251&lt;=MAX(120,Premissas!$B$15*12)),(A251-1)+(-J250)/I251,"")</f>
        <v/>
      </c>
      <c r="L251" s="9" t="n">
        <f aca="false">Resultados!$E$39*$B251-Resultados!$F$39*$B251-Premissas!$B$24-Resultados!$E$39*$B251*(Premissas!$B$14/100)</f>
        <v>29837.8</v>
      </c>
      <c r="M251" s="9" t="n">
        <f aca="false">L251-$C251</f>
        <v>29837.8</v>
      </c>
      <c r="N251" s="9" t="n">
        <f aca="false">N250+M251</f>
        <v>6944657.85999997</v>
      </c>
      <c r="O251" s="37" t="str">
        <f aca="false">IF(AND(N250&lt;0,N251&gt;=0,A251&lt;=MAX(120,Premissas!$B$15*12)),(A251-1)+(-N250)/M251,"")</f>
        <v/>
      </c>
      <c r="P251" s="9" t="n">
        <f aca="false">Resultados!$B$19*$B251-Resultados!$B$20*$B251-Premissas!$B$24-Resultados!$B$19*$B251*(Premissas!$B$14/100)</f>
        <v>24432.4</v>
      </c>
      <c r="Q251" s="9" t="n">
        <f aca="false">P251-$C251</f>
        <v>24432.4</v>
      </c>
      <c r="R251" s="9" t="n">
        <f aca="false">R250+Q251</f>
        <v>5627361.88000001</v>
      </c>
      <c r="S251" s="37" t="str">
        <f aca="false">IF(AND(R250&lt;0,R251&gt;=0,A251&lt;=MAX(120,Premissas!$B$15*12)),(A251-1)+(-R250)/Q251,"")</f>
        <v/>
      </c>
    </row>
    <row r="252" customFormat="false" ht="15" hidden="false" customHeight="false" outlineLevel="0" collapsed="false">
      <c r="A252" s="10" t="n">
        <f aca="false">A251+1</f>
        <v>248</v>
      </c>
      <c r="B252" s="36" t="n">
        <f aca="false">IF(Premissas!$B$9&lt;=1,1,MIN(1,Premissas!$B$8/100+(1-Premissas!$B$8/100)*(A252-1)/(Premissas!$B$9-1)))</f>
        <v>1</v>
      </c>
      <c r="C252" s="9" t="n">
        <f aca="false">IF(A252&lt;=Resultados!$B$9,Resultados!$B$10,0)</f>
        <v>0</v>
      </c>
      <c r="D252" s="9" t="n">
        <f aca="false">Resultados!$E$37*$B252-Resultados!$F$37*$B252-Premissas!$B$24-Resultados!$E$37*$B252*(Premissas!$B$14/100)</f>
        <v>19027</v>
      </c>
      <c r="E252" s="9" t="n">
        <f aca="false">D252-$C252</f>
        <v>19027</v>
      </c>
      <c r="F252" s="9" t="n">
        <f aca="false">F251+E252</f>
        <v>4329092.9</v>
      </c>
      <c r="G252" s="37" t="str">
        <f aca="false">IF(AND(F251&lt;0,F252&gt;=0,A252&lt;=MAX(120,Premissas!$B$15*12)),(A252-1)+(-F251)/E252,"")</f>
        <v/>
      </c>
      <c r="H252" s="9" t="n">
        <f aca="false">Resultados!$E$38*$B252-Resultados!$F$38*$B252-Premissas!$B$24-Resultados!$E$38*$B252*(Premissas!$B$14/100)</f>
        <v>24432.4</v>
      </c>
      <c r="I252" s="9" t="n">
        <f aca="false">H252-$C252</f>
        <v>24432.4</v>
      </c>
      <c r="J252" s="9" t="n">
        <f aca="false">J251+I252</f>
        <v>5651794.28000001</v>
      </c>
      <c r="K252" s="37" t="str">
        <f aca="false">IF(AND(J251&lt;0,J252&gt;=0,A252&lt;=MAX(120,Premissas!$B$15*12)),(A252-1)+(-J251)/I252,"")</f>
        <v/>
      </c>
      <c r="L252" s="9" t="n">
        <f aca="false">Resultados!$E$39*$B252-Resultados!$F$39*$B252-Premissas!$B$24-Resultados!$E$39*$B252*(Premissas!$B$14/100)</f>
        <v>29837.8</v>
      </c>
      <c r="M252" s="9" t="n">
        <f aca="false">L252-$C252</f>
        <v>29837.8</v>
      </c>
      <c r="N252" s="9" t="n">
        <f aca="false">N251+M252</f>
        <v>6974495.65999997</v>
      </c>
      <c r="O252" s="37" t="str">
        <f aca="false">IF(AND(N251&lt;0,N252&gt;=0,A252&lt;=MAX(120,Premissas!$B$15*12)),(A252-1)+(-N251)/M252,"")</f>
        <v/>
      </c>
      <c r="P252" s="9" t="n">
        <f aca="false">Resultados!$B$19*$B252-Resultados!$B$20*$B252-Premissas!$B$24-Resultados!$B$19*$B252*(Premissas!$B$14/100)</f>
        <v>24432.4</v>
      </c>
      <c r="Q252" s="9" t="n">
        <f aca="false">P252-$C252</f>
        <v>24432.4</v>
      </c>
      <c r="R252" s="9" t="n">
        <f aca="false">R251+Q252</f>
        <v>5651794.28000001</v>
      </c>
      <c r="S252" s="37" t="str">
        <f aca="false">IF(AND(R251&lt;0,R252&gt;=0,A252&lt;=MAX(120,Premissas!$B$15*12)),(A252-1)+(-R251)/Q252,"")</f>
        <v/>
      </c>
    </row>
    <row r="253" customFormat="false" ht="15" hidden="false" customHeight="false" outlineLevel="0" collapsed="false">
      <c r="A253" s="10" t="n">
        <f aca="false">A252+1</f>
        <v>249</v>
      </c>
      <c r="B253" s="36" t="n">
        <f aca="false">IF(Premissas!$B$9&lt;=1,1,MIN(1,Premissas!$B$8/100+(1-Premissas!$B$8/100)*(A253-1)/(Premissas!$B$9-1)))</f>
        <v>1</v>
      </c>
      <c r="C253" s="9" t="n">
        <f aca="false">IF(A253&lt;=Resultados!$B$9,Resultados!$B$10,0)</f>
        <v>0</v>
      </c>
      <c r="D253" s="9" t="n">
        <f aca="false">Resultados!$E$37*$B253-Resultados!$F$37*$B253-Premissas!$B$24-Resultados!$E$37*$B253*(Premissas!$B$14/100)</f>
        <v>19027</v>
      </c>
      <c r="E253" s="9" t="n">
        <f aca="false">D253-$C253</f>
        <v>19027</v>
      </c>
      <c r="F253" s="9" t="n">
        <f aca="false">F252+E253</f>
        <v>4348119.9</v>
      </c>
      <c r="G253" s="37" t="str">
        <f aca="false">IF(AND(F252&lt;0,F253&gt;=0,A253&lt;=MAX(120,Premissas!$B$15*12)),(A253-1)+(-F252)/E253,"")</f>
        <v/>
      </c>
      <c r="H253" s="9" t="n">
        <f aca="false">Resultados!$E$38*$B253-Resultados!$F$38*$B253-Premissas!$B$24-Resultados!$E$38*$B253*(Premissas!$B$14/100)</f>
        <v>24432.4</v>
      </c>
      <c r="I253" s="9" t="n">
        <f aca="false">H253-$C253</f>
        <v>24432.4</v>
      </c>
      <c r="J253" s="9" t="n">
        <f aca="false">J252+I253</f>
        <v>5676226.68000001</v>
      </c>
      <c r="K253" s="37" t="str">
        <f aca="false">IF(AND(J252&lt;0,J253&gt;=0,A253&lt;=MAX(120,Premissas!$B$15*12)),(A253-1)+(-J252)/I253,"")</f>
        <v/>
      </c>
      <c r="L253" s="9" t="n">
        <f aca="false">Resultados!$E$39*$B253-Resultados!$F$39*$B253-Premissas!$B$24-Resultados!$E$39*$B253*(Premissas!$B$14/100)</f>
        <v>29837.8</v>
      </c>
      <c r="M253" s="9" t="n">
        <f aca="false">L253-$C253</f>
        <v>29837.8</v>
      </c>
      <c r="N253" s="9" t="n">
        <f aca="false">N252+M253</f>
        <v>7004333.45999997</v>
      </c>
      <c r="O253" s="37" t="str">
        <f aca="false">IF(AND(N252&lt;0,N253&gt;=0,A253&lt;=MAX(120,Premissas!$B$15*12)),(A253-1)+(-N252)/M253,"")</f>
        <v/>
      </c>
      <c r="P253" s="9" t="n">
        <f aca="false">Resultados!$B$19*$B253-Resultados!$B$20*$B253-Premissas!$B$24-Resultados!$B$19*$B253*(Premissas!$B$14/100)</f>
        <v>24432.4</v>
      </c>
      <c r="Q253" s="9" t="n">
        <f aca="false">P253-$C253</f>
        <v>24432.4</v>
      </c>
      <c r="R253" s="9" t="n">
        <f aca="false">R252+Q253</f>
        <v>5676226.68000001</v>
      </c>
      <c r="S253" s="37" t="str">
        <f aca="false">IF(AND(R252&lt;0,R253&gt;=0,A253&lt;=MAX(120,Premissas!$B$15*12)),(A253-1)+(-R252)/Q253,"")</f>
        <v/>
      </c>
    </row>
    <row r="254" customFormat="false" ht="15" hidden="false" customHeight="false" outlineLevel="0" collapsed="false">
      <c r="A254" s="10" t="n">
        <f aca="false">A253+1</f>
        <v>250</v>
      </c>
      <c r="B254" s="36" t="n">
        <f aca="false">IF(Premissas!$B$9&lt;=1,1,MIN(1,Premissas!$B$8/100+(1-Premissas!$B$8/100)*(A254-1)/(Premissas!$B$9-1)))</f>
        <v>1</v>
      </c>
      <c r="C254" s="9" t="n">
        <f aca="false">IF(A254&lt;=Resultados!$B$9,Resultados!$B$10,0)</f>
        <v>0</v>
      </c>
      <c r="D254" s="9" t="n">
        <f aca="false">Resultados!$E$37*$B254-Resultados!$F$37*$B254-Premissas!$B$24-Resultados!$E$37*$B254*(Premissas!$B$14/100)</f>
        <v>19027</v>
      </c>
      <c r="E254" s="9" t="n">
        <f aca="false">D254-$C254</f>
        <v>19027</v>
      </c>
      <c r="F254" s="9" t="n">
        <f aca="false">F253+E254</f>
        <v>4367146.9</v>
      </c>
      <c r="G254" s="37" t="str">
        <f aca="false">IF(AND(F253&lt;0,F254&gt;=0,A254&lt;=MAX(120,Premissas!$B$15*12)),(A254-1)+(-F253)/E254,"")</f>
        <v/>
      </c>
      <c r="H254" s="9" t="n">
        <f aca="false">Resultados!$E$38*$B254-Resultados!$F$38*$B254-Premissas!$B$24-Resultados!$E$38*$B254*(Premissas!$B$14/100)</f>
        <v>24432.4</v>
      </c>
      <c r="I254" s="9" t="n">
        <f aca="false">H254-$C254</f>
        <v>24432.4</v>
      </c>
      <c r="J254" s="9" t="n">
        <f aca="false">J253+I254</f>
        <v>5700659.08000001</v>
      </c>
      <c r="K254" s="37" t="str">
        <f aca="false">IF(AND(J253&lt;0,J254&gt;=0,A254&lt;=MAX(120,Premissas!$B$15*12)),(A254-1)+(-J253)/I254,"")</f>
        <v/>
      </c>
      <c r="L254" s="9" t="n">
        <f aca="false">Resultados!$E$39*$B254-Resultados!$F$39*$B254-Premissas!$B$24-Resultados!$E$39*$B254*(Premissas!$B$14/100)</f>
        <v>29837.8</v>
      </c>
      <c r="M254" s="9" t="n">
        <f aca="false">L254-$C254</f>
        <v>29837.8</v>
      </c>
      <c r="N254" s="9" t="n">
        <f aca="false">N253+M254</f>
        <v>7034171.25999997</v>
      </c>
      <c r="O254" s="37" t="str">
        <f aca="false">IF(AND(N253&lt;0,N254&gt;=0,A254&lt;=MAX(120,Premissas!$B$15*12)),(A254-1)+(-N253)/M254,"")</f>
        <v/>
      </c>
      <c r="P254" s="9" t="n">
        <f aca="false">Resultados!$B$19*$B254-Resultados!$B$20*$B254-Premissas!$B$24-Resultados!$B$19*$B254*(Premissas!$B$14/100)</f>
        <v>24432.4</v>
      </c>
      <c r="Q254" s="9" t="n">
        <f aca="false">P254-$C254</f>
        <v>24432.4</v>
      </c>
      <c r="R254" s="9" t="n">
        <f aca="false">R253+Q254</f>
        <v>5700659.08000001</v>
      </c>
      <c r="S254" s="37" t="str">
        <f aca="false">IF(AND(R253&lt;0,R254&gt;=0,A254&lt;=MAX(120,Premissas!$B$15*12)),(A254-1)+(-R253)/Q254,"")</f>
        <v/>
      </c>
    </row>
    <row r="255" customFormat="false" ht="15" hidden="false" customHeight="false" outlineLevel="0" collapsed="false">
      <c r="A255" s="10" t="n">
        <f aca="false">A254+1</f>
        <v>251</v>
      </c>
      <c r="B255" s="36" t="n">
        <f aca="false">IF(Premissas!$B$9&lt;=1,1,MIN(1,Premissas!$B$8/100+(1-Premissas!$B$8/100)*(A255-1)/(Premissas!$B$9-1)))</f>
        <v>1</v>
      </c>
      <c r="C255" s="9" t="n">
        <f aca="false">IF(A255&lt;=Resultados!$B$9,Resultados!$B$10,0)</f>
        <v>0</v>
      </c>
      <c r="D255" s="9" t="n">
        <f aca="false">Resultados!$E$37*$B255-Resultados!$F$37*$B255-Premissas!$B$24-Resultados!$E$37*$B255*(Premissas!$B$14/100)</f>
        <v>19027</v>
      </c>
      <c r="E255" s="9" t="n">
        <f aca="false">D255-$C255</f>
        <v>19027</v>
      </c>
      <c r="F255" s="9" t="n">
        <f aca="false">F254+E255</f>
        <v>4386173.9</v>
      </c>
      <c r="G255" s="37" t="str">
        <f aca="false">IF(AND(F254&lt;0,F255&gt;=0,A255&lt;=MAX(120,Premissas!$B$15*12)),(A255-1)+(-F254)/E255,"")</f>
        <v/>
      </c>
      <c r="H255" s="9" t="n">
        <f aca="false">Resultados!$E$38*$B255-Resultados!$F$38*$B255-Premissas!$B$24-Resultados!$E$38*$B255*(Premissas!$B$14/100)</f>
        <v>24432.4</v>
      </c>
      <c r="I255" s="9" t="n">
        <f aca="false">H255-$C255</f>
        <v>24432.4</v>
      </c>
      <c r="J255" s="9" t="n">
        <f aca="false">J254+I255</f>
        <v>5725091.48000001</v>
      </c>
      <c r="K255" s="37" t="str">
        <f aca="false">IF(AND(J254&lt;0,J255&gt;=0,A255&lt;=MAX(120,Premissas!$B$15*12)),(A255-1)+(-J254)/I255,"")</f>
        <v/>
      </c>
      <c r="L255" s="9" t="n">
        <f aca="false">Resultados!$E$39*$B255-Resultados!$F$39*$B255-Premissas!$B$24-Resultados!$E$39*$B255*(Premissas!$B$14/100)</f>
        <v>29837.8</v>
      </c>
      <c r="M255" s="9" t="n">
        <f aca="false">L255-$C255</f>
        <v>29837.8</v>
      </c>
      <c r="N255" s="9" t="n">
        <f aca="false">N254+M255</f>
        <v>7064009.05999997</v>
      </c>
      <c r="O255" s="37" t="str">
        <f aca="false">IF(AND(N254&lt;0,N255&gt;=0,A255&lt;=MAX(120,Premissas!$B$15*12)),(A255-1)+(-N254)/M255,"")</f>
        <v/>
      </c>
      <c r="P255" s="9" t="n">
        <f aca="false">Resultados!$B$19*$B255-Resultados!$B$20*$B255-Premissas!$B$24-Resultados!$B$19*$B255*(Premissas!$B$14/100)</f>
        <v>24432.4</v>
      </c>
      <c r="Q255" s="9" t="n">
        <f aca="false">P255-$C255</f>
        <v>24432.4</v>
      </c>
      <c r="R255" s="9" t="n">
        <f aca="false">R254+Q255</f>
        <v>5725091.48000001</v>
      </c>
      <c r="S255" s="37" t="str">
        <f aca="false">IF(AND(R254&lt;0,R255&gt;=0,A255&lt;=MAX(120,Premissas!$B$15*12)),(A255-1)+(-R254)/Q255,"")</f>
        <v/>
      </c>
    </row>
    <row r="256" customFormat="false" ht="15" hidden="false" customHeight="false" outlineLevel="0" collapsed="false">
      <c r="A256" s="10" t="n">
        <f aca="false">A255+1</f>
        <v>252</v>
      </c>
      <c r="B256" s="36" t="n">
        <f aca="false">IF(Premissas!$B$9&lt;=1,1,MIN(1,Premissas!$B$8/100+(1-Premissas!$B$8/100)*(A256-1)/(Premissas!$B$9-1)))</f>
        <v>1</v>
      </c>
      <c r="C256" s="9" t="n">
        <f aca="false">IF(A256&lt;=Resultados!$B$9,Resultados!$B$10,0)</f>
        <v>0</v>
      </c>
      <c r="D256" s="9" t="n">
        <f aca="false">Resultados!$E$37*$B256-Resultados!$F$37*$B256-Premissas!$B$24-Resultados!$E$37*$B256*(Premissas!$B$14/100)</f>
        <v>19027</v>
      </c>
      <c r="E256" s="9" t="n">
        <f aca="false">D256-$C256</f>
        <v>19027</v>
      </c>
      <c r="F256" s="9" t="n">
        <f aca="false">F255+E256</f>
        <v>4405200.9</v>
      </c>
      <c r="G256" s="37" t="str">
        <f aca="false">IF(AND(F255&lt;0,F256&gt;=0,A256&lt;=MAX(120,Premissas!$B$15*12)),(A256-1)+(-F255)/E256,"")</f>
        <v/>
      </c>
      <c r="H256" s="9" t="n">
        <f aca="false">Resultados!$E$38*$B256-Resultados!$F$38*$B256-Premissas!$B$24-Resultados!$E$38*$B256*(Premissas!$B$14/100)</f>
        <v>24432.4</v>
      </c>
      <c r="I256" s="9" t="n">
        <f aca="false">H256-$C256</f>
        <v>24432.4</v>
      </c>
      <c r="J256" s="9" t="n">
        <f aca="false">J255+I256</f>
        <v>5749523.88000001</v>
      </c>
      <c r="K256" s="37" t="str">
        <f aca="false">IF(AND(J255&lt;0,J256&gt;=0,A256&lt;=MAX(120,Premissas!$B$15*12)),(A256-1)+(-J255)/I256,"")</f>
        <v/>
      </c>
      <c r="L256" s="9" t="n">
        <f aca="false">Resultados!$E$39*$B256-Resultados!$F$39*$B256-Premissas!$B$24-Resultados!$E$39*$B256*(Premissas!$B$14/100)</f>
        <v>29837.8</v>
      </c>
      <c r="M256" s="9" t="n">
        <f aca="false">L256-$C256</f>
        <v>29837.8</v>
      </c>
      <c r="N256" s="9" t="n">
        <f aca="false">N255+M256</f>
        <v>7093846.85999997</v>
      </c>
      <c r="O256" s="37" t="str">
        <f aca="false">IF(AND(N255&lt;0,N256&gt;=0,A256&lt;=MAX(120,Premissas!$B$15*12)),(A256-1)+(-N255)/M256,"")</f>
        <v/>
      </c>
      <c r="P256" s="9" t="n">
        <f aca="false">Resultados!$B$19*$B256-Resultados!$B$20*$B256-Premissas!$B$24-Resultados!$B$19*$B256*(Premissas!$B$14/100)</f>
        <v>24432.4</v>
      </c>
      <c r="Q256" s="9" t="n">
        <f aca="false">P256-$C256</f>
        <v>24432.4</v>
      </c>
      <c r="R256" s="9" t="n">
        <f aca="false">R255+Q256</f>
        <v>5749523.88000001</v>
      </c>
      <c r="S256" s="37" t="str">
        <f aca="false">IF(AND(R255&lt;0,R256&gt;=0,A256&lt;=MAX(120,Premissas!$B$15*12)),(A256-1)+(-R255)/Q256,"")</f>
        <v/>
      </c>
    </row>
    <row r="257" customFormat="false" ht="15" hidden="false" customHeight="false" outlineLevel="0" collapsed="false">
      <c r="A257" s="10" t="n">
        <f aca="false">A256+1</f>
        <v>253</v>
      </c>
      <c r="B257" s="36" t="n">
        <f aca="false">IF(Premissas!$B$9&lt;=1,1,MIN(1,Premissas!$B$8/100+(1-Premissas!$B$8/100)*(A257-1)/(Premissas!$B$9-1)))</f>
        <v>1</v>
      </c>
      <c r="C257" s="9" t="n">
        <f aca="false">IF(A257&lt;=Resultados!$B$9,Resultados!$B$10,0)</f>
        <v>0</v>
      </c>
      <c r="D257" s="9" t="n">
        <f aca="false">Resultados!$E$37*$B257-Resultados!$F$37*$B257-Premissas!$B$24-Resultados!$E$37*$B257*(Premissas!$B$14/100)</f>
        <v>19027</v>
      </c>
      <c r="E257" s="9" t="n">
        <f aca="false">D257-$C257</f>
        <v>19027</v>
      </c>
      <c r="F257" s="9" t="n">
        <f aca="false">F256+E257</f>
        <v>4424227.9</v>
      </c>
      <c r="G257" s="37" t="str">
        <f aca="false">IF(AND(F256&lt;0,F257&gt;=0,A257&lt;=MAX(120,Premissas!$B$15*12)),(A257-1)+(-F256)/E257,"")</f>
        <v/>
      </c>
      <c r="H257" s="9" t="n">
        <f aca="false">Resultados!$E$38*$B257-Resultados!$F$38*$B257-Premissas!$B$24-Resultados!$E$38*$B257*(Premissas!$B$14/100)</f>
        <v>24432.4</v>
      </c>
      <c r="I257" s="9" t="n">
        <f aca="false">H257-$C257</f>
        <v>24432.4</v>
      </c>
      <c r="J257" s="9" t="n">
        <f aca="false">J256+I257</f>
        <v>5773956.28000001</v>
      </c>
      <c r="K257" s="37" t="str">
        <f aca="false">IF(AND(J256&lt;0,J257&gt;=0,A257&lt;=MAX(120,Premissas!$B$15*12)),(A257-1)+(-J256)/I257,"")</f>
        <v/>
      </c>
      <c r="L257" s="9" t="n">
        <f aca="false">Resultados!$E$39*$B257-Resultados!$F$39*$B257-Premissas!$B$24-Resultados!$E$39*$B257*(Premissas!$B$14/100)</f>
        <v>29837.8</v>
      </c>
      <c r="M257" s="9" t="n">
        <f aca="false">L257-$C257</f>
        <v>29837.8</v>
      </c>
      <c r="N257" s="9" t="n">
        <f aca="false">N256+M257</f>
        <v>7123684.65999997</v>
      </c>
      <c r="O257" s="37" t="str">
        <f aca="false">IF(AND(N256&lt;0,N257&gt;=0,A257&lt;=MAX(120,Premissas!$B$15*12)),(A257-1)+(-N256)/M257,"")</f>
        <v/>
      </c>
      <c r="P257" s="9" t="n">
        <f aca="false">Resultados!$B$19*$B257-Resultados!$B$20*$B257-Premissas!$B$24-Resultados!$B$19*$B257*(Premissas!$B$14/100)</f>
        <v>24432.4</v>
      </c>
      <c r="Q257" s="9" t="n">
        <f aca="false">P257-$C257</f>
        <v>24432.4</v>
      </c>
      <c r="R257" s="9" t="n">
        <f aca="false">R256+Q257</f>
        <v>5773956.28000001</v>
      </c>
      <c r="S257" s="37" t="str">
        <f aca="false">IF(AND(R256&lt;0,R257&gt;=0,A257&lt;=MAX(120,Premissas!$B$15*12)),(A257-1)+(-R256)/Q257,"")</f>
        <v/>
      </c>
    </row>
    <row r="258" customFormat="false" ht="15" hidden="false" customHeight="false" outlineLevel="0" collapsed="false">
      <c r="A258" s="10" t="n">
        <f aca="false">A257+1</f>
        <v>254</v>
      </c>
      <c r="B258" s="36" t="n">
        <f aca="false">IF(Premissas!$B$9&lt;=1,1,MIN(1,Premissas!$B$8/100+(1-Premissas!$B$8/100)*(A258-1)/(Premissas!$B$9-1)))</f>
        <v>1</v>
      </c>
      <c r="C258" s="9" t="n">
        <f aca="false">IF(A258&lt;=Resultados!$B$9,Resultados!$B$10,0)</f>
        <v>0</v>
      </c>
      <c r="D258" s="9" t="n">
        <f aca="false">Resultados!$E$37*$B258-Resultados!$F$37*$B258-Premissas!$B$24-Resultados!$E$37*$B258*(Premissas!$B$14/100)</f>
        <v>19027</v>
      </c>
      <c r="E258" s="9" t="n">
        <f aca="false">D258-$C258</f>
        <v>19027</v>
      </c>
      <c r="F258" s="9" t="n">
        <f aca="false">F257+E258</f>
        <v>4443254.9</v>
      </c>
      <c r="G258" s="37" t="str">
        <f aca="false">IF(AND(F257&lt;0,F258&gt;=0,A258&lt;=MAX(120,Premissas!$B$15*12)),(A258-1)+(-F257)/E258,"")</f>
        <v/>
      </c>
      <c r="H258" s="9" t="n">
        <f aca="false">Resultados!$E$38*$B258-Resultados!$F$38*$B258-Premissas!$B$24-Resultados!$E$38*$B258*(Premissas!$B$14/100)</f>
        <v>24432.4</v>
      </c>
      <c r="I258" s="9" t="n">
        <f aca="false">H258-$C258</f>
        <v>24432.4</v>
      </c>
      <c r="J258" s="9" t="n">
        <f aca="false">J257+I258</f>
        <v>5798388.68000001</v>
      </c>
      <c r="K258" s="37" t="str">
        <f aca="false">IF(AND(J257&lt;0,J258&gt;=0,A258&lt;=MAX(120,Premissas!$B$15*12)),(A258-1)+(-J257)/I258,"")</f>
        <v/>
      </c>
      <c r="L258" s="9" t="n">
        <f aca="false">Resultados!$E$39*$B258-Resultados!$F$39*$B258-Premissas!$B$24-Resultados!$E$39*$B258*(Premissas!$B$14/100)</f>
        <v>29837.8</v>
      </c>
      <c r="M258" s="9" t="n">
        <f aca="false">L258-$C258</f>
        <v>29837.8</v>
      </c>
      <c r="N258" s="9" t="n">
        <f aca="false">N257+M258</f>
        <v>7153522.45999997</v>
      </c>
      <c r="O258" s="37" t="str">
        <f aca="false">IF(AND(N257&lt;0,N258&gt;=0,A258&lt;=MAX(120,Premissas!$B$15*12)),(A258-1)+(-N257)/M258,"")</f>
        <v/>
      </c>
      <c r="P258" s="9" t="n">
        <f aca="false">Resultados!$B$19*$B258-Resultados!$B$20*$B258-Premissas!$B$24-Resultados!$B$19*$B258*(Premissas!$B$14/100)</f>
        <v>24432.4</v>
      </c>
      <c r="Q258" s="9" t="n">
        <f aca="false">P258-$C258</f>
        <v>24432.4</v>
      </c>
      <c r="R258" s="9" t="n">
        <f aca="false">R257+Q258</f>
        <v>5798388.68000001</v>
      </c>
      <c r="S258" s="37" t="str">
        <f aca="false">IF(AND(R257&lt;0,R258&gt;=0,A258&lt;=MAX(120,Premissas!$B$15*12)),(A258-1)+(-R257)/Q258,"")</f>
        <v/>
      </c>
    </row>
    <row r="259" customFormat="false" ht="15" hidden="false" customHeight="false" outlineLevel="0" collapsed="false">
      <c r="A259" s="10" t="n">
        <f aca="false">A258+1</f>
        <v>255</v>
      </c>
      <c r="B259" s="36" t="n">
        <f aca="false">IF(Premissas!$B$9&lt;=1,1,MIN(1,Premissas!$B$8/100+(1-Premissas!$B$8/100)*(A259-1)/(Premissas!$B$9-1)))</f>
        <v>1</v>
      </c>
      <c r="C259" s="9" t="n">
        <f aca="false">IF(A259&lt;=Resultados!$B$9,Resultados!$B$10,0)</f>
        <v>0</v>
      </c>
      <c r="D259" s="9" t="n">
        <f aca="false">Resultados!$E$37*$B259-Resultados!$F$37*$B259-Premissas!$B$24-Resultados!$E$37*$B259*(Premissas!$B$14/100)</f>
        <v>19027</v>
      </c>
      <c r="E259" s="9" t="n">
        <f aca="false">D259-$C259</f>
        <v>19027</v>
      </c>
      <c r="F259" s="9" t="n">
        <f aca="false">F258+E259</f>
        <v>4462281.9</v>
      </c>
      <c r="G259" s="37" t="str">
        <f aca="false">IF(AND(F258&lt;0,F259&gt;=0,A259&lt;=MAX(120,Premissas!$B$15*12)),(A259-1)+(-F258)/E259,"")</f>
        <v/>
      </c>
      <c r="H259" s="9" t="n">
        <f aca="false">Resultados!$E$38*$B259-Resultados!$F$38*$B259-Premissas!$B$24-Resultados!$E$38*$B259*(Premissas!$B$14/100)</f>
        <v>24432.4</v>
      </c>
      <c r="I259" s="9" t="n">
        <f aca="false">H259-$C259</f>
        <v>24432.4</v>
      </c>
      <c r="J259" s="9" t="n">
        <f aca="false">J258+I259</f>
        <v>5822821.08000001</v>
      </c>
      <c r="K259" s="37" t="str">
        <f aca="false">IF(AND(J258&lt;0,J259&gt;=0,A259&lt;=MAX(120,Premissas!$B$15*12)),(A259-1)+(-J258)/I259,"")</f>
        <v/>
      </c>
      <c r="L259" s="9" t="n">
        <f aca="false">Resultados!$E$39*$B259-Resultados!$F$39*$B259-Premissas!$B$24-Resultados!$E$39*$B259*(Premissas!$B$14/100)</f>
        <v>29837.8</v>
      </c>
      <c r="M259" s="9" t="n">
        <f aca="false">L259-$C259</f>
        <v>29837.8</v>
      </c>
      <c r="N259" s="9" t="n">
        <f aca="false">N258+M259</f>
        <v>7183360.25999997</v>
      </c>
      <c r="O259" s="37" t="str">
        <f aca="false">IF(AND(N258&lt;0,N259&gt;=0,A259&lt;=MAX(120,Premissas!$B$15*12)),(A259-1)+(-N258)/M259,"")</f>
        <v/>
      </c>
      <c r="P259" s="9" t="n">
        <f aca="false">Resultados!$B$19*$B259-Resultados!$B$20*$B259-Premissas!$B$24-Resultados!$B$19*$B259*(Premissas!$B$14/100)</f>
        <v>24432.4</v>
      </c>
      <c r="Q259" s="9" t="n">
        <f aca="false">P259-$C259</f>
        <v>24432.4</v>
      </c>
      <c r="R259" s="9" t="n">
        <f aca="false">R258+Q259</f>
        <v>5822821.08000001</v>
      </c>
      <c r="S259" s="37" t="str">
        <f aca="false">IF(AND(R258&lt;0,R259&gt;=0,A259&lt;=MAX(120,Premissas!$B$15*12)),(A259-1)+(-R258)/Q259,"")</f>
        <v/>
      </c>
    </row>
    <row r="260" customFormat="false" ht="15" hidden="false" customHeight="false" outlineLevel="0" collapsed="false">
      <c r="A260" s="10" t="n">
        <f aca="false">A259+1</f>
        <v>256</v>
      </c>
      <c r="B260" s="36" t="n">
        <f aca="false">IF(Premissas!$B$9&lt;=1,1,MIN(1,Premissas!$B$8/100+(1-Premissas!$B$8/100)*(A260-1)/(Premissas!$B$9-1)))</f>
        <v>1</v>
      </c>
      <c r="C260" s="9" t="n">
        <f aca="false">IF(A260&lt;=Resultados!$B$9,Resultados!$B$10,0)</f>
        <v>0</v>
      </c>
      <c r="D260" s="9" t="n">
        <f aca="false">Resultados!$E$37*$B260-Resultados!$F$37*$B260-Premissas!$B$24-Resultados!$E$37*$B260*(Premissas!$B$14/100)</f>
        <v>19027</v>
      </c>
      <c r="E260" s="9" t="n">
        <f aca="false">D260-$C260</f>
        <v>19027</v>
      </c>
      <c r="F260" s="9" t="n">
        <f aca="false">F259+E260</f>
        <v>4481308.9</v>
      </c>
      <c r="G260" s="37" t="str">
        <f aca="false">IF(AND(F259&lt;0,F260&gt;=0,A260&lt;=MAX(120,Premissas!$B$15*12)),(A260-1)+(-F259)/E260,"")</f>
        <v/>
      </c>
      <c r="H260" s="9" t="n">
        <f aca="false">Resultados!$E$38*$B260-Resultados!$F$38*$B260-Premissas!$B$24-Resultados!$E$38*$B260*(Premissas!$B$14/100)</f>
        <v>24432.4</v>
      </c>
      <c r="I260" s="9" t="n">
        <f aca="false">H260-$C260</f>
        <v>24432.4</v>
      </c>
      <c r="J260" s="9" t="n">
        <f aca="false">J259+I260</f>
        <v>5847253.48000001</v>
      </c>
      <c r="K260" s="37" t="str">
        <f aca="false">IF(AND(J259&lt;0,J260&gt;=0,A260&lt;=MAX(120,Premissas!$B$15*12)),(A260-1)+(-J259)/I260,"")</f>
        <v/>
      </c>
      <c r="L260" s="9" t="n">
        <f aca="false">Resultados!$E$39*$B260-Resultados!$F$39*$B260-Premissas!$B$24-Resultados!$E$39*$B260*(Premissas!$B$14/100)</f>
        <v>29837.8</v>
      </c>
      <c r="M260" s="9" t="n">
        <f aca="false">L260-$C260</f>
        <v>29837.8</v>
      </c>
      <c r="N260" s="9" t="n">
        <f aca="false">N259+M260</f>
        <v>7213198.05999997</v>
      </c>
      <c r="O260" s="37" t="str">
        <f aca="false">IF(AND(N259&lt;0,N260&gt;=0,A260&lt;=MAX(120,Premissas!$B$15*12)),(A260-1)+(-N259)/M260,"")</f>
        <v/>
      </c>
      <c r="P260" s="9" t="n">
        <f aca="false">Resultados!$B$19*$B260-Resultados!$B$20*$B260-Premissas!$B$24-Resultados!$B$19*$B260*(Premissas!$B$14/100)</f>
        <v>24432.4</v>
      </c>
      <c r="Q260" s="9" t="n">
        <f aca="false">P260-$C260</f>
        <v>24432.4</v>
      </c>
      <c r="R260" s="9" t="n">
        <f aca="false">R259+Q260</f>
        <v>5847253.48000001</v>
      </c>
      <c r="S260" s="37" t="str">
        <f aca="false">IF(AND(R259&lt;0,R260&gt;=0,A260&lt;=MAX(120,Premissas!$B$15*12)),(A260-1)+(-R259)/Q260,"")</f>
        <v/>
      </c>
    </row>
    <row r="261" customFormat="false" ht="15" hidden="false" customHeight="false" outlineLevel="0" collapsed="false">
      <c r="A261" s="10" t="n">
        <f aca="false">A260+1</f>
        <v>257</v>
      </c>
      <c r="B261" s="36" t="n">
        <f aca="false">IF(Premissas!$B$9&lt;=1,1,MIN(1,Premissas!$B$8/100+(1-Premissas!$B$8/100)*(A261-1)/(Premissas!$B$9-1)))</f>
        <v>1</v>
      </c>
      <c r="C261" s="9" t="n">
        <f aca="false">IF(A261&lt;=Resultados!$B$9,Resultados!$B$10,0)</f>
        <v>0</v>
      </c>
      <c r="D261" s="9" t="n">
        <f aca="false">Resultados!$E$37*$B261-Resultados!$F$37*$B261-Premissas!$B$24-Resultados!$E$37*$B261*(Premissas!$B$14/100)</f>
        <v>19027</v>
      </c>
      <c r="E261" s="9" t="n">
        <f aca="false">D261-$C261</f>
        <v>19027</v>
      </c>
      <c r="F261" s="9" t="n">
        <f aca="false">F260+E261</f>
        <v>4500335.9</v>
      </c>
      <c r="G261" s="37" t="str">
        <f aca="false">IF(AND(F260&lt;0,F261&gt;=0,A261&lt;=MAX(120,Premissas!$B$15*12)),(A261-1)+(-F260)/E261,"")</f>
        <v/>
      </c>
      <c r="H261" s="9" t="n">
        <f aca="false">Resultados!$E$38*$B261-Resultados!$F$38*$B261-Premissas!$B$24-Resultados!$E$38*$B261*(Premissas!$B$14/100)</f>
        <v>24432.4</v>
      </c>
      <c r="I261" s="9" t="n">
        <f aca="false">H261-$C261</f>
        <v>24432.4</v>
      </c>
      <c r="J261" s="9" t="n">
        <f aca="false">J260+I261</f>
        <v>5871685.88000002</v>
      </c>
      <c r="K261" s="37" t="str">
        <f aca="false">IF(AND(J260&lt;0,J261&gt;=0,A261&lt;=MAX(120,Premissas!$B$15*12)),(A261-1)+(-J260)/I261,"")</f>
        <v/>
      </c>
      <c r="L261" s="9" t="n">
        <f aca="false">Resultados!$E$39*$B261-Resultados!$F$39*$B261-Premissas!$B$24-Resultados!$E$39*$B261*(Premissas!$B$14/100)</f>
        <v>29837.8</v>
      </c>
      <c r="M261" s="9" t="n">
        <f aca="false">L261-$C261</f>
        <v>29837.8</v>
      </c>
      <c r="N261" s="9" t="n">
        <f aca="false">N260+M261</f>
        <v>7243035.85999997</v>
      </c>
      <c r="O261" s="37" t="str">
        <f aca="false">IF(AND(N260&lt;0,N261&gt;=0,A261&lt;=MAX(120,Premissas!$B$15*12)),(A261-1)+(-N260)/M261,"")</f>
        <v/>
      </c>
      <c r="P261" s="9" t="n">
        <f aca="false">Resultados!$B$19*$B261-Resultados!$B$20*$B261-Premissas!$B$24-Resultados!$B$19*$B261*(Premissas!$B$14/100)</f>
        <v>24432.4</v>
      </c>
      <c r="Q261" s="9" t="n">
        <f aca="false">P261-$C261</f>
        <v>24432.4</v>
      </c>
      <c r="R261" s="9" t="n">
        <f aca="false">R260+Q261</f>
        <v>5871685.88000002</v>
      </c>
      <c r="S261" s="37" t="str">
        <f aca="false">IF(AND(R260&lt;0,R261&gt;=0,A261&lt;=MAX(120,Premissas!$B$15*12)),(A261-1)+(-R260)/Q261,"")</f>
        <v/>
      </c>
    </row>
    <row r="262" customFormat="false" ht="15" hidden="false" customHeight="false" outlineLevel="0" collapsed="false">
      <c r="A262" s="10" t="n">
        <f aca="false">A261+1</f>
        <v>258</v>
      </c>
      <c r="B262" s="36" t="n">
        <f aca="false">IF(Premissas!$B$9&lt;=1,1,MIN(1,Premissas!$B$8/100+(1-Premissas!$B$8/100)*(A262-1)/(Premissas!$B$9-1)))</f>
        <v>1</v>
      </c>
      <c r="C262" s="9" t="n">
        <f aca="false">IF(A262&lt;=Resultados!$B$9,Resultados!$B$10,0)</f>
        <v>0</v>
      </c>
      <c r="D262" s="9" t="n">
        <f aca="false">Resultados!$E$37*$B262-Resultados!$F$37*$B262-Premissas!$B$24-Resultados!$E$37*$B262*(Premissas!$B$14/100)</f>
        <v>19027</v>
      </c>
      <c r="E262" s="9" t="n">
        <f aca="false">D262-$C262</f>
        <v>19027</v>
      </c>
      <c r="F262" s="9" t="n">
        <f aca="false">F261+E262</f>
        <v>4519362.9</v>
      </c>
      <c r="G262" s="37" t="str">
        <f aca="false">IF(AND(F261&lt;0,F262&gt;=0,A262&lt;=MAX(120,Premissas!$B$15*12)),(A262-1)+(-F261)/E262,"")</f>
        <v/>
      </c>
      <c r="H262" s="9" t="n">
        <f aca="false">Resultados!$E$38*$B262-Resultados!$F$38*$B262-Premissas!$B$24-Resultados!$E$38*$B262*(Premissas!$B$14/100)</f>
        <v>24432.4</v>
      </c>
      <c r="I262" s="9" t="n">
        <f aca="false">H262-$C262</f>
        <v>24432.4</v>
      </c>
      <c r="J262" s="9" t="n">
        <f aca="false">J261+I262</f>
        <v>5896118.28000002</v>
      </c>
      <c r="K262" s="37" t="str">
        <f aca="false">IF(AND(J261&lt;0,J262&gt;=0,A262&lt;=MAX(120,Premissas!$B$15*12)),(A262-1)+(-J261)/I262,"")</f>
        <v/>
      </c>
      <c r="L262" s="9" t="n">
        <f aca="false">Resultados!$E$39*$B262-Resultados!$F$39*$B262-Premissas!$B$24-Resultados!$E$39*$B262*(Premissas!$B$14/100)</f>
        <v>29837.8</v>
      </c>
      <c r="M262" s="9" t="n">
        <f aca="false">L262-$C262</f>
        <v>29837.8</v>
      </c>
      <c r="N262" s="9" t="n">
        <f aca="false">N261+M262</f>
        <v>7272873.65999997</v>
      </c>
      <c r="O262" s="37" t="str">
        <f aca="false">IF(AND(N261&lt;0,N262&gt;=0,A262&lt;=MAX(120,Premissas!$B$15*12)),(A262-1)+(-N261)/M262,"")</f>
        <v/>
      </c>
      <c r="P262" s="9" t="n">
        <f aca="false">Resultados!$B$19*$B262-Resultados!$B$20*$B262-Premissas!$B$24-Resultados!$B$19*$B262*(Premissas!$B$14/100)</f>
        <v>24432.4</v>
      </c>
      <c r="Q262" s="9" t="n">
        <f aca="false">P262-$C262</f>
        <v>24432.4</v>
      </c>
      <c r="R262" s="9" t="n">
        <f aca="false">R261+Q262</f>
        <v>5896118.28000002</v>
      </c>
      <c r="S262" s="37" t="str">
        <f aca="false">IF(AND(R261&lt;0,R262&gt;=0,A262&lt;=MAX(120,Premissas!$B$15*12)),(A262-1)+(-R261)/Q262,"")</f>
        <v/>
      </c>
    </row>
    <row r="263" customFormat="false" ht="15" hidden="false" customHeight="false" outlineLevel="0" collapsed="false">
      <c r="A263" s="10" t="n">
        <f aca="false">A262+1</f>
        <v>259</v>
      </c>
      <c r="B263" s="36" t="n">
        <f aca="false">IF(Premissas!$B$9&lt;=1,1,MIN(1,Premissas!$B$8/100+(1-Premissas!$B$8/100)*(A263-1)/(Premissas!$B$9-1)))</f>
        <v>1</v>
      </c>
      <c r="C263" s="9" t="n">
        <f aca="false">IF(A263&lt;=Resultados!$B$9,Resultados!$B$10,0)</f>
        <v>0</v>
      </c>
      <c r="D263" s="9" t="n">
        <f aca="false">Resultados!$E$37*$B263-Resultados!$F$37*$B263-Premissas!$B$24-Resultados!$E$37*$B263*(Premissas!$B$14/100)</f>
        <v>19027</v>
      </c>
      <c r="E263" s="9" t="n">
        <f aca="false">D263-$C263</f>
        <v>19027</v>
      </c>
      <c r="F263" s="9" t="n">
        <f aca="false">F262+E263</f>
        <v>4538389.9</v>
      </c>
      <c r="G263" s="37" t="str">
        <f aca="false">IF(AND(F262&lt;0,F263&gt;=0,A263&lt;=MAX(120,Premissas!$B$15*12)),(A263-1)+(-F262)/E263,"")</f>
        <v/>
      </c>
      <c r="H263" s="9" t="n">
        <f aca="false">Resultados!$E$38*$B263-Resultados!$F$38*$B263-Premissas!$B$24-Resultados!$E$38*$B263*(Premissas!$B$14/100)</f>
        <v>24432.4</v>
      </c>
      <c r="I263" s="9" t="n">
        <f aca="false">H263-$C263</f>
        <v>24432.4</v>
      </c>
      <c r="J263" s="9" t="n">
        <f aca="false">J262+I263</f>
        <v>5920550.68000002</v>
      </c>
      <c r="K263" s="37" t="str">
        <f aca="false">IF(AND(J262&lt;0,J263&gt;=0,A263&lt;=MAX(120,Premissas!$B$15*12)),(A263-1)+(-J262)/I263,"")</f>
        <v/>
      </c>
      <c r="L263" s="9" t="n">
        <f aca="false">Resultados!$E$39*$B263-Resultados!$F$39*$B263-Premissas!$B$24-Resultados!$E$39*$B263*(Premissas!$B$14/100)</f>
        <v>29837.8</v>
      </c>
      <c r="M263" s="9" t="n">
        <f aca="false">L263-$C263</f>
        <v>29837.8</v>
      </c>
      <c r="N263" s="9" t="n">
        <f aca="false">N262+M263</f>
        <v>7302711.45999997</v>
      </c>
      <c r="O263" s="37" t="str">
        <f aca="false">IF(AND(N262&lt;0,N263&gt;=0,A263&lt;=MAX(120,Premissas!$B$15*12)),(A263-1)+(-N262)/M263,"")</f>
        <v/>
      </c>
      <c r="P263" s="9" t="n">
        <f aca="false">Resultados!$B$19*$B263-Resultados!$B$20*$B263-Premissas!$B$24-Resultados!$B$19*$B263*(Premissas!$B$14/100)</f>
        <v>24432.4</v>
      </c>
      <c r="Q263" s="9" t="n">
        <f aca="false">P263-$C263</f>
        <v>24432.4</v>
      </c>
      <c r="R263" s="9" t="n">
        <f aca="false">R262+Q263</f>
        <v>5920550.68000002</v>
      </c>
      <c r="S263" s="37" t="str">
        <f aca="false">IF(AND(R262&lt;0,R263&gt;=0,A263&lt;=MAX(120,Premissas!$B$15*12)),(A263-1)+(-R262)/Q263,"")</f>
        <v/>
      </c>
    </row>
    <row r="264" customFormat="false" ht="15" hidden="false" customHeight="false" outlineLevel="0" collapsed="false">
      <c r="A264" s="10" t="n">
        <f aca="false">A263+1</f>
        <v>260</v>
      </c>
      <c r="B264" s="36" t="n">
        <f aca="false">IF(Premissas!$B$9&lt;=1,1,MIN(1,Premissas!$B$8/100+(1-Premissas!$B$8/100)*(A264-1)/(Premissas!$B$9-1)))</f>
        <v>1</v>
      </c>
      <c r="C264" s="9" t="n">
        <f aca="false">IF(A264&lt;=Resultados!$B$9,Resultados!$B$10,0)</f>
        <v>0</v>
      </c>
      <c r="D264" s="9" t="n">
        <f aca="false">Resultados!$E$37*$B264-Resultados!$F$37*$B264-Premissas!$B$24-Resultados!$E$37*$B264*(Premissas!$B$14/100)</f>
        <v>19027</v>
      </c>
      <c r="E264" s="9" t="n">
        <f aca="false">D264-$C264</f>
        <v>19027</v>
      </c>
      <c r="F264" s="9" t="n">
        <f aca="false">F263+E264</f>
        <v>4557416.9</v>
      </c>
      <c r="G264" s="37" t="str">
        <f aca="false">IF(AND(F263&lt;0,F264&gt;=0,A264&lt;=MAX(120,Premissas!$B$15*12)),(A264-1)+(-F263)/E264,"")</f>
        <v/>
      </c>
      <c r="H264" s="9" t="n">
        <f aca="false">Resultados!$E$38*$B264-Resultados!$F$38*$B264-Premissas!$B$24-Resultados!$E$38*$B264*(Premissas!$B$14/100)</f>
        <v>24432.4</v>
      </c>
      <c r="I264" s="9" t="n">
        <f aca="false">H264-$C264</f>
        <v>24432.4</v>
      </c>
      <c r="J264" s="9" t="n">
        <f aca="false">J263+I264</f>
        <v>5944983.08000002</v>
      </c>
      <c r="K264" s="37" t="str">
        <f aca="false">IF(AND(J263&lt;0,J264&gt;=0,A264&lt;=MAX(120,Premissas!$B$15*12)),(A264-1)+(-J263)/I264,"")</f>
        <v/>
      </c>
      <c r="L264" s="9" t="n">
        <f aca="false">Resultados!$E$39*$B264-Resultados!$F$39*$B264-Premissas!$B$24-Resultados!$E$39*$B264*(Premissas!$B$14/100)</f>
        <v>29837.8</v>
      </c>
      <c r="M264" s="9" t="n">
        <f aca="false">L264-$C264</f>
        <v>29837.8</v>
      </c>
      <c r="N264" s="9" t="n">
        <f aca="false">N263+M264</f>
        <v>7332549.25999997</v>
      </c>
      <c r="O264" s="37" t="str">
        <f aca="false">IF(AND(N263&lt;0,N264&gt;=0,A264&lt;=MAX(120,Premissas!$B$15*12)),(A264-1)+(-N263)/M264,"")</f>
        <v/>
      </c>
      <c r="P264" s="9" t="n">
        <f aca="false">Resultados!$B$19*$B264-Resultados!$B$20*$B264-Premissas!$B$24-Resultados!$B$19*$B264*(Premissas!$B$14/100)</f>
        <v>24432.4</v>
      </c>
      <c r="Q264" s="9" t="n">
        <f aca="false">P264-$C264</f>
        <v>24432.4</v>
      </c>
      <c r="R264" s="9" t="n">
        <f aca="false">R263+Q264</f>
        <v>5944983.08000002</v>
      </c>
      <c r="S264" s="37" t="str">
        <f aca="false">IF(AND(R263&lt;0,R264&gt;=0,A264&lt;=MAX(120,Premissas!$B$15*12)),(A264-1)+(-R263)/Q264,"")</f>
        <v/>
      </c>
    </row>
    <row r="265" customFormat="false" ht="15" hidden="false" customHeight="false" outlineLevel="0" collapsed="false">
      <c r="A265" s="10" t="n">
        <f aca="false">A264+1</f>
        <v>261</v>
      </c>
      <c r="B265" s="36" t="n">
        <f aca="false">IF(Premissas!$B$9&lt;=1,1,MIN(1,Premissas!$B$8/100+(1-Premissas!$B$8/100)*(A265-1)/(Premissas!$B$9-1)))</f>
        <v>1</v>
      </c>
      <c r="C265" s="9" t="n">
        <f aca="false">IF(A265&lt;=Resultados!$B$9,Resultados!$B$10,0)</f>
        <v>0</v>
      </c>
      <c r="D265" s="9" t="n">
        <f aca="false">Resultados!$E$37*$B265-Resultados!$F$37*$B265-Premissas!$B$24-Resultados!$E$37*$B265*(Premissas!$B$14/100)</f>
        <v>19027</v>
      </c>
      <c r="E265" s="9" t="n">
        <f aca="false">D265-$C265</f>
        <v>19027</v>
      </c>
      <c r="F265" s="9" t="n">
        <f aca="false">F264+E265</f>
        <v>4576443.9</v>
      </c>
      <c r="G265" s="37" t="str">
        <f aca="false">IF(AND(F264&lt;0,F265&gt;=0,A265&lt;=MAX(120,Premissas!$B$15*12)),(A265-1)+(-F264)/E265,"")</f>
        <v/>
      </c>
      <c r="H265" s="9" t="n">
        <f aca="false">Resultados!$E$38*$B265-Resultados!$F$38*$B265-Premissas!$B$24-Resultados!$E$38*$B265*(Premissas!$B$14/100)</f>
        <v>24432.4</v>
      </c>
      <c r="I265" s="9" t="n">
        <f aca="false">H265-$C265</f>
        <v>24432.4</v>
      </c>
      <c r="J265" s="9" t="n">
        <f aca="false">J264+I265</f>
        <v>5969415.48000002</v>
      </c>
      <c r="K265" s="37" t="str">
        <f aca="false">IF(AND(J264&lt;0,J265&gt;=0,A265&lt;=MAX(120,Premissas!$B$15*12)),(A265-1)+(-J264)/I265,"")</f>
        <v/>
      </c>
      <c r="L265" s="9" t="n">
        <f aca="false">Resultados!$E$39*$B265-Resultados!$F$39*$B265-Premissas!$B$24-Resultados!$E$39*$B265*(Premissas!$B$14/100)</f>
        <v>29837.8</v>
      </c>
      <c r="M265" s="9" t="n">
        <f aca="false">L265-$C265</f>
        <v>29837.8</v>
      </c>
      <c r="N265" s="9" t="n">
        <f aca="false">N264+M265</f>
        <v>7362387.05999997</v>
      </c>
      <c r="O265" s="37" t="str">
        <f aca="false">IF(AND(N264&lt;0,N265&gt;=0,A265&lt;=MAX(120,Premissas!$B$15*12)),(A265-1)+(-N264)/M265,"")</f>
        <v/>
      </c>
      <c r="P265" s="9" t="n">
        <f aca="false">Resultados!$B$19*$B265-Resultados!$B$20*$B265-Premissas!$B$24-Resultados!$B$19*$B265*(Premissas!$B$14/100)</f>
        <v>24432.4</v>
      </c>
      <c r="Q265" s="9" t="n">
        <f aca="false">P265-$C265</f>
        <v>24432.4</v>
      </c>
      <c r="R265" s="9" t="n">
        <f aca="false">R264+Q265</f>
        <v>5969415.48000002</v>
      </c>
      <c r="S265" s="37" t="str">
        <f aca="false">IF(AND(R264&lt;0,R265&gt;=0,A265&lt;=MAX(120,Premissas!$B$15*12)),(A265-1)+(-R264)/Q265,"")</f>
        <v/>
      </c>
    </row>
    <row r="266" customFormat="false" ht="15" hidden="false" customHeight="false" outlineLevel="0" collapsed="false">
      <c r="A266" s="10" t="n">
        <f aca="false">A265+1</f>
        <v>262</v>
      </c>
      <c r="B266" s="36" t="n">
        <f aca="false">IF(Premissas!$B$9&lt;=1,1,MIN(1,Premissas!$B$8/100+(1-Premissas!$B$8/100)*(A266-1)/(Premissas!$B$9-1)))</f>
        <v>1</v>
      </c>
      <c r="C266" s="9" t="n">
        <f aca="false">IF(A266&lt;=Resultados!$B$9,Resultados!$B$10,0)</f>
        <v>0</v>
      </c>
      <c r="D266" s="9" t="n">
        <f aca="false">Resultados!$E$37*$B266-Resultados!$F$37*$B266-Premissas!$B$24-Resultados!$E$37*$B266*(Premissas!$B$14/100)</f>
        <v>19027</v>
      </c>
      <c r="E266" s="9" t="n">
        <f aca="false">D266-$C266</f>
        <v>19027</v>
      </c>
      <c r="F266" s="9" t="n">
        <f aca="false">F265+E266</f>
        <v>4595470.9</v>
      </c>
      <c r="G266" s="37" t="str">
        <f aca="false">IF(AND(F265&lt;0,F266&gt;=0,A266&lt;=MAX(120,Premissas!$B$15*12)),(A266-1)+(-F265)/E266,"")</f>
        <v/>
      </c>
      <c r="H266" s="9" t="n">
        <f aca="false">Resultados!$E$38*$B266-Resultados!$F$38*$B266-Premissas!$B$24-Resultados!$E$38*$B266*(Premissas!$B$14/100)</f>
        <v>24432.4</v>
      </c>
      <c r="I266" s="9" t="n">
        <f aca="false">H266-$C266</f>
        <v>24432.4</v>
      </c>
      <c r="J266" s="9" t="n">
        <f aca="false">J265+I266</f>
        <v>5993847.88000002</v>
      </c>
      <c r="K266" s="37" t="str">
        <f aca="false">IF(AND(J265&lt;0,J266&gt;=0,A266&lt;=MAX(120,Premissas!$B$15*12)),(A266-1)+(-J265)/I266,"")</f>
        <v/>
      </c>
      <c r="L266" s="9" t="n">
        <f aca="false">Resultados!$E$39*$B266-Resultados!$F$39*$B266-Premissas!$B$24-Resultados!$E$39*$B266*(Premissas!$B$14/100)</f>
        <v>29837.8</v>
      </c>
      <c r="M266" s="9" t="n">
        <f aca="false">L266-$C266</f>
        <v>29837.8</v>
      </c>
      <c r="N266" s="9" t="n">
        <f aca="false">N265+M266</f>
        <v>7392224.85999997</v>
      </c>
      <c r="O266" s="37" t="str">
        <f aca="false">IF(AND(N265&lt;0,N266&gt;=0,A266&lt;=MAX(120,Premissas!$B$15*12)),(A266-1)+(-N265)/M266,"")</f>
        <v/>
      </c>
      <c r="P266" s="9" t="n">
        <f aca="false">Resultados!$B$19*$B266-Resultados!$B$20*$B266-Premissas!$B$24-Resultados!$B$19*$B266*(Premissas!$B$14/100)</f>
        <v>24432.4</v>
      </c>
      <c r="Q266" s="9" t="n">
        <f aca="false">P266-$C266</f>
        <v>24432.4</v>
      </c>
      <c r="R266" s="9" t="n">
        <f aca="false">R265+Q266</f>
        <v>5993847.88000002</v>
      </c>
      <c r="S266" s="37" t="str">
        <f aca="false">IF(AND(R265&lt;0,R266&gt;=0,A266&lt;=MAX(120,Premissas!$B$15*12)),(A266-1)+(-R265)/Q266,"")</f>
        <v/>
      </c>
    </row>
    <row r="267" customFormat="false" ht="15" hidden="false" customHeight="false" outlineLevel="0" collapsed="false">
      <c r="A267" s="10" t="n">
        <f aca="false">A266+1</f>
        <v>263</v>
      </c>
      <c r="B267" s="36" t="n">
        <f aca="false">IF(Premissas!$B$9&lt;=1,1,MIN(1,Premissas!$B$8/100+(1-Premissas!$B$8/100)*(A267-1)/(Premissas!$B$9-1)))</f>
        <v>1</v>
      </c>
      <c r="C267" s="9" t="n">
        <f aca="false">IF(A267&lt;=Resultados!$B$9,Resultados!$B$10,0)</f>
        <v>0</v>
      </c>
      <c r="D267" s="9" t="n">
        <f aca="false">Resultados!$E$37*$B267-Resultados!$F$37*$B267-Premissas!$B$24-Resultados!$E$37*$B267*(Premissas!$B$14/100)</f>
        <v>19027</v>
      </c>
      <c r="E267" s="9" t="n">
        <f aca="false">D267-$C267</f>
        <v>19027</v>
      </c>
      <c r="F267" s="9" t="n">
        <f aca="false">F266+E267</f>
        <v>4614497.9</v>
      </c>
      <c r="G267" s="37" t="str">
        <f aca="false">IF(AND(F266&lt;0,F267&gt;=0,A267&lt;=MAX(120,Premissas!$B$15*12)),(A267-1)+(-F266)/E267,"")</f>
        <v/>
      </c>
      <c r="H267" s="9" t="n">
        <f aca="false">Resultados!$E$38*$B267-Resultados!$F$38*$B267-Premissas!$B$24-Resultados!$E$38*$B267*(Premissas!$B$14/100)</f>
        <v>24432.4</v>
      </c>
      <c r="I267" s="9" t="n">
        <f aca="false">H267-$C267</f>
        <v>24432.4</v>
      </c>
      <c r="J267" s="9" t="n">
        <f aca="false">J266+I267</f>
        <v>6018280.28000002</v>
      </c>
      <c r="K267" s="37" t="str">
        <f aca="false">IF(AND(J266&lt;0,J267&gt;=0,A267&lt;=MAX(120,Premissas!$B$15*12)),(A267-1)+(-J266)/I267,"")</f>
        <v/>
      </c>
      <c r="L267" s="9" t="n">
        <f aca="false">Resultados!$E$39*$B267-Resultados!$F$39*$B267-Premissas!$B$24-Resultados!$E$39*$B267*(Premissas!$B$14/100)</f>
        <v>29837.8</v>
      </c>
      <c r="M267" s="9" t="n">
        <f aca="false">L267-$C267</f>
        <v>29837.8</v>
      </c>
      <c r="N267" s="9" t="n">
        <f aca="false">N266+M267</f>
        <v>7422062.65999997</v>
      </c>
      <c r="O267" s="37" t="str">
        <f aca="false">IF(AND(N266&lt;0,N267&gt;=0,A267&lt;=MAX(120,Premissas!$B$15*12)),(A267-1)+(-N266)/M267,"")</f>
        <v/>
      </c>
      <c r="P267" s="9" t="n">
        <f aca="false">Resultados!$B$19*$B267-Resultados!$B$20*$B267-Premissas!$B$24-Resultados!$B$19*$B267*(Premissas!$B$14/100)</f>
        <v>24432.4</v>
      </c>
      <c r="Q267" s="9" t="n">
        <f aca="false">P267-$C267</f>
        <v>24432.4</v>
      </c>
      <c r="R267" s="9" t="n">
        <f aca="false">R266+Q267</f>
        <v>6018280.28000002</v>
      </c>
      <c r="S267" s="37" t="str">
        <f aca="false">IF(AND(R266&lt;0,R267&gt;=0,A267&lt;=MAX(120,Premissas!$B$15*12)),(A267-1)+(-R266)/Q267,"")</f>
        <v/>
      </c>
    </row>
    <row r="268" customFormat="false" ht="15" hidden="false" customHeight="false" outlineLevel="0" collapsed="false">
      <c r="A268" s="10" t="n">
        <f aca="false">A267+1</f>
        <v>264</v>
      </c>
      <c r="B268" s="36" t="n">
        <f aca="false">IF(Premissas!$B$9&lt;=1,1,MIN(1,Premissas!$B$8/100+(1-Premissas!$B$8/100)*(A268-1)/(Premissas!$B$9-1)))</f>
        <v>1</v>
      </c>
      <c r="C268" s="9" t="n">
        <f aca="false">IF(A268&lt;=Resultados!$B$9,Resultados!$B$10,0)</f>
        <v>0</v>
      </c>
      <c r="D268" s="9" t="n">
        <f aca="false">Resultados!$E$37*$B268-Resultados!$F$37*$B268-Premissas!$B$24-Resultados!$E$37*$B268*(Premissas!$B$14/100)</f>
        <v>19027</v>
      </c>
      <c r="E268" s="9" t="n">
        <f aca="false">D268-$C268</f>
        <v>19027</v>
      </c>
      <c r="F268" s="9" t="n">
        <f aca="false">F267+E268</f>
        <v>4633524.9</v>
      </c>
      <c r="G268" s="37" t="str">
        <f aca="false">IF(AND(F267&lt;0,F268&gt;=0,A268&lt;=MAX(120,Premissas!$B$15*12)),(A268-1)+(-F267)/E268,"")</f>
        <v/>
      </c>
      <c r="H268" s="9" t="n">
        <f aca="false">Resultados!$E$38*$B268-Resultados!$F$38*$B268-Premissas!$B$24-Resultados!$E$38*$B268*(Premissas!$B$14/100)</f>
        <v>24432.4</v>
      </c>
      <c r="I268" s="9" t="n">
        <f aca="false">H268-$C268</f>
        <v>24432.4</v>
      </c>
      <c r="J268" s="9" t="n">
        <f aca="false">J267+I268</f>
        <v>6042712.68000002</v>
      </c>
      <c r="K268" s="37" t="str">
        <f aca="false">IF(AND(J267&lt;0,J268&gt;=0,A268&lt;=MAX(120,Premissas!$B$15*12)),(A268-1)+(-J267)/I268,"")</f>
        <v/>
      </c>
      <c r="L268" s="9" t="n">
        <f aca="false">Resultados!$E$39*$B268-Resultados!$F$39*$B268-Premissas!$B$24-Resultados!$E$39*$B268*(Premissas!$B$14/100)</f>
        <v>29837.8</v>
      </c>
      <c r="M268" s="9" t="n">
        <f aca="false">L268-$C268</f>
        <v>29837.8</v>
      </c>
      <c r="N268" s="9" t="n">
        <f aca="false">N267+M268</f>
        <v>7451900.45999997</v>
      </c>
      <c r="O268" s="37" t="str">
        <f aca="false">IF(AND(N267&lt;0,N268&gt;=0,A268&lt;=MAX(120,Premissas!$B$15*12)),(A268-1)+(-N267)/M268,"")</f>
        <v/>
      </c>
      <c r="P268" s="9" t="n">
        <f aca="false">Resultados!$B$19*$B268-Resultados!$B$20*$B268-Premissas!$B$24-Resultados!$B$19*$B268*(Premissas!$B$14/100)</f>
        <v>24432.4</v>
      </c>
      <c r="Q268" s="9" t="n">
        <f aca="false">P268-$C268</f>
        <v>24432.4</v>
      </c>
      <c r="R268" s="9" t="n">
        <f aca="false">R267+Q268</f>
        <v>6042712.68000002</v>
      </c>
      <c r="S268" s="37" t="str">
        <f aca="false">IF(AND(R267&lt;0,R268&gt;=0,A268&lt;=MAX(120,Premissas!$B$15*12)),(A268-1)+(-R267)/Q268,"")</f>
        <v/>
      </c>
    </row>
    <row r="269" customFormat="false" ht="15" hidden="false" customHeight="false" outlineLevel="0" collapsed="false">
      <c r="A269" s="10" t="n">
        <f aca="false">A268+1</f>
        <v>265</v>
      </c>
      <c r="B269" s="36" t="n">
        <f aca="false">IF(Premissas!$B$9&lt;=1,1,MIN(1,Premissas!$B$8/100+(1-Premissas!$B$8/100)*(A269-1)/(Premissas!$B$9-1)))</f>
        <v>1</v>
      </c>
      <c r="C269" s="9" t="n">
        <f aca="false">IF(A269&lt;=Resultados!$B$9,Resultados!$B$10,0)</f>
        <v>0</v>
      </c>
      <c r="D269" s="9" t="n">
        <f aca="false">Resultados!$E$37*$B269-Resultados!$F$37*$B269-Premissas!$B$24-Resultados!$E$37*$B269*(Premissas!$B$14/100)</f>
        <v>19027</v>
      </c>
      <c r="E269" s="9" t="n">
        <f aca="false">D269-$C269</f>
        <v>19027</v>
      </c>
      <c r="F269" s="9" t="n">
        <f aca="false">F268+E269</f>
        <v>4652551.9</v>
      </c>
      <c r="G269" s="37" t="str">
        <f aca="false">IF(AND(F268&lt;0,F269&gt;=0,A269&lt;=MAX(120,Premissas!$B$15*12)),(A269-1)+(-F268)/E269,"")</f>
        <v/>
      </c>
      <c r="H269" s="9" t="n">
        <f aca="false">Resultados!$E$38*$B269-Resultados!$F$38*$B269-Premissas!$B$24-Resultados!$E$38*$B269*(Premissas!$B$14/100)</f>
        <v>24432.4</v>
      </c>
      <c r="I269" s="9" t="n">
        <f aca="false">H269-$C269</f>
        <v>24432.4</v>
      </c>
      <c r="J269" s="9" t="n">
        <f aca="false">J268+I269</f>
        <v>6067145.08000002</v>
      </c>
      <c r="K269" s="37" t="str">
        <f aca="false">IF(AND(J268&lt;0,J269&gt;=0,A269&lt;=MAX(120,Premissas!$B$15*12)),(A269-1)+(-J268)/I269,"")</f>
        <v/>
      </c>
      <c r="L269" s="9" t="n">
        <f aca="false">Resultados!$E$39*$B269-Resultados!$F$39*$B269-Premissas!$B$24-Resultados!$E$39*$B269*(Premissas!$B$14/100)</f>
        <v>29837.8</v>
      </c>
      <c r="M269" s="9" t="n">
        <f aca="false">L269-$C269</f>
        <v>29837.8</v>
      </c>
      <c r="N269" s="9" t="n">
        <f aca="false">N268+M269</f>
        <v>7481738.25999997</v>
      </c>
      <c r="O269" s="37" t="str">
        <f aca="false">IF(AND(N268&lt;0,N269&gt;=0,A269&lt;=MAX(120,Premissas!$B$15*12)),(A269-1)+(-N268)/M269,"")</f>
        <v/>
      </c>
      <c r="P269" s="9" t="n">
        <f aca="false">Resultados!$B$19*$B269-Resultados!$B$20*$B269-Premissas!$B$24-Resultados!$B$19*$B269*(Premissas!$B$14/100)</f>
        <v>24432.4</v>
      </c>
      <c r="Q269" s="9" t="n">
        <f aca="false">P269-$C269</f>
        <v>24432.4</v>
      </c>
      <c r="R269" s="9" t="n">
        <f aca="false">R268+Q269</f>
        <v>6067145.08000002</v>
      </c>
      <c r="S269" s="37" t="str">
        <f aca="false">IF(AND(R268&lt;0,R269&gt;=0,A269&lt;=MAX(120,Premissas!$B$15*12)),(A269-1)+(-R268)/Q269,"")</f>
        <v/>
      </c>
    </row>
    <row r="270" customFormat="false" ht="15" hidden="false" customHeight="false" outlineLevel="0" collapsed="false">
      <c r="A270" s="10" t="n">
        <f aca="false">A269+1</f>
        <v>266</v>
      </c>
      <c r="B270" s="36" t="n">
        <f aca="false">IF(Premissas!$B$9&lt;=1,1,MIN(1,Premissas!$B$8/100+(1-Premissas!$B$8/100)*(A270-1)/(Premissas!$B$9-1)))</f>
        <v>1</v>
      </c>
      <c r="C270" s="9" t="n">
        <f aca="false">IF(A270&lt;=Resultados!$B$9,Resultados!$B$10,0)</f>
        <v>0</v>
      </c>
      <c r="D270" s="9" t="n">
        <f aca="false">Resultados!$E$37*$B270-Resultados!$F$37*$B270-Premissas!$B$24-Resultados!$E$37*$B270*(Premissas!$B$14/100)</f>
        <v>19027</v>
      </c>
      <c r="E270" s="9" t="n">
        <f aca="false">D270-$C270</f>
        <v>19027</v>
      </c>
      <c r="F270" s="9" t="n">
        <f aca="false">F269+E270</f>
        <v>4671578.9</v>
      </c>
      <c r="G270" s="37" t="str">
        <f aca="false">IF(AND(F269&lt;0,F270&gt;=0,A270&lt;=MAX(120,Premissas!$B$15*12)),(A270-1)+(-F269)/E270,"")</f>
        <v/>
      </c>
      <c r="H270" s="9" t="n">
        <f aca="false">Resultados!$E$38*$B270-Resultados!$F$38*$B270-Premissas!$B$24-Resultados!$E$38*$B270*(Premissas!$B$14/100)</f>
        <v>24432.4</v>
      </c>
      <c r="I270" s="9" t="n">
        <f aca="false">H270-$C270</f>
        <v>24432.4</v>
      </c>
      <c r="J270" s="9" t="n">
        <f aca="false">J269+I270</f>
        <v>6091577.48000002</v>
      </c>
      <c r="K270" s="37" t="str">
        <f aca="false">IF(AND(J269&lt;0,J270&gt;=0,A270&lt;=MAX(120,Premissas!$B$15*12)),(A270-1)+(-J269)/I270,"")</f>
        <v/>
      </c>
      <c r="L270" s="9" t="n">
        <f aca="false">Resultados!$E$39*$B270-Resultados!$F$39*$B270-Premissas!$B$24-Resultados!$E$39*$B270*(Premissas!$B$14/100)</f>
        <v>29837.8</v>
      </c>
      <c r="M270" s="9" t="n">
        <f aca="false">L270-$C270</f>
        <v>29837.8</v>
      </c>
      <c r="N270" s="9" t="n">
        <f aca="false">N269+M270</f>
        <v>7511576.05999997</v>
      </c>
      <c r="O270" s="37" t="str">
        <f aca="false">IF(AND(N269&lt;0,N270&gt;=0,A270&lt;=MAX(120,Premissas!$B$15*12)),(A270-1)+(-N269)/M270,"")</f>
        <v/>
      </c>
      <c r="P270" s="9" t="n">
        <f aca="false">Resultados!$B$19*$B270-Resultados!$B$20*$B270-Premissas!$B$24-Resultados!$B$19*$B270*(Premissas!$B$14/100)</f>
        <v>24432.4</v>
      </c>
      <c r="Q270" s="9" t="n">
        <f aca="false">P270-$C270</f>
        <v>24432.4</v>
      </c>
      <c r="R270" s="9" t="n">
        <f aca="false">R269+Q270</f>
        <v>6091577.48000002</v>
      </c>
      <c r="S270" s="37" t="str">
        <f aca="false">IF(AND(R269&lt;0,R270&gt;=0,A270&lt;=MAX(120,Premissas!$B$15*12)),(A270-1)+(-R269)/Q270,"")</f>
        <v/>
      </c>
    </row>
    <row r="271" customFormat="false" ht="15" hidden="false" customHeight="false" outlineLevel="0" collapsed="false">
      <c r="A271" s="10" t="n">
        <f aca="false">A270+1</f>
        <v>267</v>
      </c>
      <c r="B271" s="36" t="n">
        <f aca="false">IF(Premissas!$B$9&lt;=1,1,MIN(1,Premissas!$B$8/100+(1-Premissas!$B$8/100)*(A271-1)/(Premissas!$B$9-1)))</f>
        <v>1</v>
      </c>
      <c r="C271" s="9" t="n">
        <f aca="false">IF(A271&lt;=Resultados!$B$9,Resultados!$B$10,0)</f>
        <v>0</v>
      </c>
      <c r="D271" s="9" t="n">
        <f aca="false">Resultados!$E$37*$B271-Resultados!$F$37*$B271-Premissas!$B$24-Resultados!$E$37*$B271*(Premissas!$B$14/100)</f>
        <v>19027</v>
      </c>
      <c r="E271" s="9" t="n">
        <f aca="false">D271-$C271</f>
        <v>19027</v>
      </c>
      <c r="F271" s="9" t="n">
        <f aca="false">F270+E271</f>
        <v>4690605.9</v>
      </c>
      <c r="G271" s="37" t="str">
        <f aca="false">IF(AND(F270&lt;0,F271&gt;=0,A271&lt;=MAX(120,Premissas!$B$15*12)),(A271-1)+(-F270)/E271,"")</f>
        <v/>
      </c>
      <c r="H271" s="9" t="n">
        <f aca="false">Resultados!$E$38*$B271-Resultados!$F$38*$B271-Premissas!$B$24-Resultados!$E$38*$B271*(Premissas!$B$14/100)</f>
        <v>24432.4</v>
      </c>
      <c r="I271" s="9" t="n">
        <f aca="false">H271-$C271</f>
        <v>24432.4</v>
      </c>
      <c r="J271" s="9" t="n">
        <f aca="false">J270+I271</f>
        <v>6116009.88000002</v>
      </c>
      <c r="K271" s="37" t="str">
        <f aca="false">IF(AND(J270&lt;0,J271&gt;=0,A271&lt;=MAX(120,Premissas!$B$15*12)),(A271-1)+(-J270)/I271,"")</f>
        <v/>
      </c>
      <c r="L271" s="9" t="n">
        <f aca="false">Resultados!$E$39*$B271-Resultados!$F$39*$B271-Premissas!$B$24-Resultados!$E$39*$B271*(Premissas!$B$14/100)</f>
        <v>29837.8</v>
      </c>
      <c r="M271" s="9" t="n">
        <f aca="false">L271-$C271</f>
        <v>29837.8</v>
      </c>
      <c r="N271" s="9" t="n">
        <f aca="false">N270+M271</f>
        <v>7541413.85999997</v>
      </c>
      <c r="O271" s="37" t="str">
        <f aca="false">IF(AND(N270&lt;0,N271&gt;=0,A271&lt;=MAX(120,Premissas!$B$15*12)),(A271-1)+(-N270)/M271,"")</f>
        <v/>
      </c>
      <c r="P271" s="9" t="n">
        <f aca="false">Resultados!$B$19*$B271-Resultados!$B$20*$B271-Premissas!$B$24-Resultados!$B$19*$B271*(Premissas!$B$14/100)</f>
        <v>24432.4</v>
      </c>
      <c r="Q271" s="9" t="n">
        <f aca="false">P271-$C271</f>
        <v>24432.4</v>
      </c>
      <c r="R271" s="9" t="n">
        <f aca="false">R270+Q271</f>
        <v>6116009.88000002</v>
      </c>
      <c r="S271" s="37" t="str">
        <f aca="false">IF(AND(R270&lt;0,R271&gt;=0,A271&lt;=MAX(120,Premissas!$B$15*12)),(A271-1)+(-R270)/Q271,"")</f>
        <v/>
      </c>
    </row>
    <row r="272" customFormat="false" ht="15" hidden="false" customHeight="false" outlineLevel="0" collapsed="false">
      <c r="A272" s="10" t="n">
        <f aca="false">A271+1</f>
        <v>268</v>
      </c>
      <c r="B272" s="36" t="n">
        <f aca="false">IF(Premissas!$B$9&lt;=1,1,MIN(1,Premissas!$B$8/100+(1-Premissas!$B$8/100)*(A272-1)/(Premissas!$B$9-1)))</f>
        <v>1</v>
      </c>
      <c r="C272" s="9" t="n">
        <f aca="false">IF(A272&lt;=Resultados!$B$9,Resultados!$B$10,0)</f>
        <v>0</v>
      </c>
      <c r="D272" s="9" t="n">
        <f aca="false">Resultados!$E$37*$B272-Resultados!$F$37*$B272-Premissas!$B$24-Resultados!$E$37*$B272*(Premissas!$B$14/100)</f>
        <v>19027</v>
      </c>
      <c r="E272" s="9" t="n">
        <f aca="false">D272-$C272</f>
        <v>19027</v>
      </c>
      <c r="F272" s="9" t="n">
        <f aca="false">F271+E272</f>
        <v>4709632.9</v>
      </c>
      <c r="G272" s="37" t="str">
        <f aca="false">IF(AND(F271&lt;0,F272&gt;=0,A272&lt;=MAX(120,Premissas!$B$15*12)),(A272-1)+(-F271)/E272,"")</f>
        <v/>
      </c>
      <c r="H272" s="9" t="n">
        <f aca="false">Resultados!$E$38*$B272-Resultados!$F$38*$B272-Premissas!$B$24-Resultados!$E$38*$B272*(Premissas!$B$14/100)</f>
        <v>24432.4</v>
      </c>
      <c r="I272" s="9" t="n">
        <f aca="false">H272-$C272</f>
        <v>24432.4</v>
      </c>
      <c r="J272" s="9" t="n">
        <f aca="false">J271+I272</f>
        <v>6140442.28000002</v>
      </c>
      <c r="K272" s="37" t="str">
        <f aca="false">IF(AND(J271&lt;0,J272&gt;=0,A272&lt;=MAX(120,Premissas!$B$15*12)),(A272-1)+(-J271)/I272,"")</f>
        <v/>
      </c>
      <c r="L272" s="9" t="n">
        <f aca="false">Resultados!$E$39*$B272-Resultados!$F$39*$B272-Premissas!$B$24-Resultados!$E$39*$B272*(Premissas!$B$14/100)</f>
        <v>29837.8</v>
      </c>
      <c r="M272" s="9" t="n">
        <f aca="false">L272-$C272</f>
        <v>29837.8</v>
      </c>
      <c r="N272" s="9" t="n">
        <f aca="false">N271+M272</f>
        <v>7571251.65999997</v>
      </c>
      <c r="O272" s="37" t="str">
        <f aca="false">IF(AND(N271&lt;0,N272&gt;=0,A272&lt;=MAX(120,Premissas!$B$15*12)),(A272-1)+(-N271)/M272,"")</f>
        <v/>
      </c>
      <c r="P272" s="9" t="n">
        <f aca="false">Resultados!$B$19*$B272-Resultados!$B$20*$B272-Premissas!$B$24-Resultados!$B$19*$B272*(Premissas!$B$14/100)</f>
        <v>24432.4</v>
      </c>
      <c r="Q272" s="9" t="n">
        <f aca="false">P272-$C272</f>
        <v>24432.4</v>
      </c>
      <c r="R272" s="9" t="n">
        <f aca="false">R271+Q272</f>
        <v>6140442.28000002</v>
      </c>
      <c r="S272" s="37" t="str">
        <f aca="false">IF(AND(R271&lt;0,R272&gt;=0,A272&lt;=MAX(120,Premissas!$B$15*12)),(A272-1)+(-R271)/Q272,"")</f>
        <v/>
      </c>
    </row>
    <row r="273" customFormat="false" ht="15" hidden="false" customHeight="false" outlineLevel="0" collapsed="false">
      <c r="A273" s="10" t="n">
        <f aca="false">A272+1</f>
        <v>269</v>
      </c>
      <c r="B273" s="36" t="n">
        <f aca="false">IF(Premissas!$B$9&lt;=1,1,MIN(1,Premissas!$B$8/100+(1-Premissas!$B$8/100)*(A273-1)/(Premissas!$B$9-1)))</f>
        <v>1</v>
      </c>
      <c r="C273" s="9" t="n">
        <f aca="false">IF(A273&lt;=Resultados!$B$9,Resultados!$B$10,0)</f>
        <v>0</v>
      </c>
      <c r="D273" s="9" t="n">
        <f aca="false">Resultados!$E$37*$B273-Resultados!$F$37*$B273-Premissas!$B$24-Resultados!$E$37*$B273*(Premissas!$B$14/100)</f>
        <v>19027</v>
      </c>
      <c r="E273" s="9" t="n">
        <f aca="false">D273-$C273</f>
        <v>19027</v>
      </c>
      <c r="F273" s="9" t="n">
        <f aca="false">F272+E273</f>
        <v>4728659.9</v>
      </c>
      <c r="G273" s="37" t="str">
        <f aca="false">IF(AND(F272&lt;0,F273&gt;=0,A273&lt;=MAX(120,Premissas!$B$15*12)),(A273-1)+(-F272)/E273,"")</f>
        <v/>
      </c>
      <c r="H273" s="9" t="n">
        <f aca="false">Resultados!$E$38*$B273-Resultados!$F$38*$B273-Premissas!$B$24-Resultados!$E$38*$B273*(Premissas!$B$14/100)</f>
        <v>24432.4</v>
      </c>
      <c r="I273" s="9" t="n">
        <f aca="false">H273-$C273</f>
        <v>24432.4</v>
      </c>
      <c r="J273" s="9" t="n">
        <f aca="false">J272+I273</f>
        <v>6164874.68000002</v>
      </c>
      <c r="K273" s="37" t="str">
        <f aca="false">IF(AND(J272&lt;0,J273&gt;=0,A273&lt;=MAX(120,Premissas!$B$15*12)),(A273-1)+(-J272)/I273,"")</f>
        <v/>
      </c>
      <c r="L273" s="9" t="n">
        <f aca="false">Resultados!$E$39*$B273-Resultados!$F$39*$B273-Premissas!$B$24-Resultados!$E$39*$B273*(Premissas!$B$14/100)</f>
        <v>29837.8</v>
      </c>
      <c r="M273" s="9" t="n">
        <f aca="false">L273-$C273</f>
        <v>29837.8</v>
      </c>
      <c r="N273" s="9" t="n">
        <f aca="false">N272+M273</f>
        <v>7601089.45999997</v>
      </c>
      <c r="O273" s="37" t="str">
        <f aca="false">IF(AND(N272&lt;0,N273&gt;=0,A273&lt;=MAX(120,Premissas!$B$15*12)),(A273-1)+(-N272)/M273,"")</f>
        <v/>
      </c>
      <c r="P273" s="9" t="n">
        <f aca="false">Resultados!$B$19*$B273-Resultados!$B$20*$B273-Premissas!$B$24-Resultados!$B$19*$B273*(Premissas!$B$14/100)</f>
        <v>24432.4</v>
      </c>
      <c r="Q273" s="9" t="n">
        <f aca="false">P273-$C273</f>
        <v>24432.4</v>
      </c>
      <c r="R273" s="9" t="n">
        <f aca="false">R272+Q273</f>
        <v>6164874.68000002</v>
      </c>
      <c r="S273" s="37" t="str">
        <f aca="false">IF(AND(R272&lt;0,R273&gt;=0,A273&lt;=MAX(120,Premissas!$B$15*12)),(A273-1)+(-R272)/Q273,"")</f>
        <v/>
      </c>
    </row>
    <row r="274" customFormat="false" ht="15" hidden="false" customHeight="false" outlineLevel="0" collapsed="false">
      <c r="A274" s="10" t="n">
        <f aca="false">A273+1</f>
        <v>270</v>
      </c>
      <c r="B274" s="36" t="n">
        <f aca="false">IF(Premissas!$B$9&lt;=1,1,MIN(1,Premissas!$B$8/100+(1-Premissas!$B$8/100)*(A274-1)/(Premissas!$B$9-1)))</f>
        <v>1</v>
      </c>
      <c r="C274" s="9" t="n">
        <f aca="false">IF(A274&lt;=Resultados!$B$9,Resultados!$B$10,0)</f>
        <v>0</v>
      </c>
      <c r="D274" s="9" t="n">
        <f aca="false">Resultados!$E$37*$B274-Resultados!$F$37*$B274-Premissas!$B$24-Resultados!$E$37*$B274*(Premissas!$B$14/100)</f>
        <v>19027</v>
      </c>
      <c r="E274" s="9" t="n">
        <f aca="false">D274-$C274</f>
        <v>19027</v>
      </c>
      <c r="F274" s="9" t="n">
        <f aca="false">F273+E274</f>
        <v>4747686.9</v>
      </c>
      <c r="G274" s="37" t="str">
        <f aca="false">IF(AND(F273&lt;0,F274&gt;=0,A274&lt;=MAX(120,Premissas!$B$15*12)),(A274-1)+(-F273)/E274,"")</f>
        <v/>
      </c>
      <c r="H274" s="9" t="n">
        <f aca="false">Resultados!$E$38*$B274-Resultados!$F$38*$B274-Premissas!$B$24-Resultados!$E$38*$B274*(Premissas!$B$14/100)</f>
        <v>24432.4</v>
      </c>
      <c r="I274" s="9" t="n">
        <f aca="false">H274-$C274</f>
        <v>24432.4</v>
      </c>
      <c r="J274" s="9" t="n">
        <f aca="false">J273+I274</f>
        <v>6189307.08000002</v>
      </c>
      <c r="K274" s="37" t="str">
        <f aca="false">IF(AND(J273&lt;0,J274&gt;=0,A274&lt;=MAX(120,Premissas!$B$15*12)),(A274-1)+(-J273)/I274,"")</f>
        <v/>
      </c>
      <c r="L274" s="9" t="n">
        <f aca="false">Resultados!$E$39*$B274-Resultados!$F$39*$B274-Premissas!$B$24-Resultados!$E$39*$B274*(Premissas!$B$14/100)</f>
        <v>29837.8</v>
      </c>
      <c r="M274" s="9" t="n">
        <f aca="false">L274-$C274</f>
        <v>29837.8</v>
      </c>
      <c r="N274" s="9" t="n">
        <f aca="false">N273+M274</f>
        <v>7630927.25999997</v>
      </c>
      <c r="O274" s="37" t="str">
        <f aca="false">IF(AND(N273&lt;0,N274&gt;=0,A274&lt;=MAX(120,Premissas!$B$15*12)),(A274-1)+(-N273)/M274,"")</f>
        <v/>
      </c>
      <c r="P274" s="9" t="n">
        <f aca="false">Resultados!$B$19*$B274-Resultados!$B$20*$B274-Premissas!$B$24-Resultados!$B$19*$B274*(Premissas!$B$14/100)</f>
        <v>24432.4</v>
      </c>
      <c r="Q274" s="9" t="n">
        <f aca="false">P274-$C274</f>
        <v>24432.4</v>
      </c>
      <c r="R274" s="9" t="n">
        <f aca="false">R273+Q274</f>
        <v>6189307.08000002</v>
      </c>
      <c r="S274" s="37" t="str">
        <f aca="false">IF(AND(R273&lt;0,R274&gt;=0,A274&lt;=MAX(120,Premissas!$B$15*12)),(A274-1)+(-R273)/Q274,"")</f>
        <v/>
      </c>
    </row>
    <row r="275" customFormat="false" ht="15" hidden="false" customHeight="false" outlineLevel="0" collapsed="false">
      <c r="A275" s="10" t="n">
        <f aca="false">A274+1</f>
        <v>271</v>
      </c>
      <c r="B275" s="36" t="n">
        <f aca="false">IF(Premissas!$B$9&lt;=1,1,MIN(1,Premissas!$B$8/100+(1-Premissas!$B$8/100)*(A275-1)/(Premissas!$B$9-1)))</f>
        <v>1</v>
      </c>
      <c r="C275" s="9" t="n">
        <f aca="false">IF(A275&lt;=Resultados!$B$9,Resultados!$B$10,0)</f>
        <v>0</v>
      </c>
      <c r="D275" s="9" t="n">
        <f aca="false">Resultados!$E$37*$B275-Resultados!$F$37*$B275-Premissas!$B$24-Resultados!$E$37*$B275*(Premissas!$B$14/100)</f>
        <v>19027</v>
      </c>
      <c r="E275" s="9" t="n">
        <f aca="false">D275-$C275</f>
        <v>19027</v>
      </c>
      <c r="F275" s="9" t="n">
        <f aca="false">F274+E275</f>
        <v>4766713.9</v>
      </c>
      <c r="G275" s="37" t="str">
        <f aca="false">IF(AND(F274&lt;0,F275&gt;=0,A275&lt;=MAX(120,Premissas!$B$15*12)),(A275-1)+(-F274)/E275,"")</f>
        <v/>
      </c>
      <c r="H275" s="9" t="n">
        <f aca="false">Resultados!$E$38*$B275-Resultados!$F$38*$B275-Premissas!$B$24-Resultados!$E$38*$B275*(Premissas!$B$14/100)</f>
        <v>24432.4</v>
      </c>
      <c r="I275" s="9" t="n">
        <f aca="false">H275-$C275</f>
        <v>24432.4</v>
      </c>
      <c r="J275" s="9" t="n">
        <f aca="false">J274+I275</f>
        <v>6213739.48000002</v>
      </c>
      <c r="K275" s="37" t="str">
        <f aca="false">IF(AND(J274&lt;0,J275&gt;=0,A275&lt;=MAX(120,Premissas!$B$15*12)),(A275-1)+(-J274)/I275,"")</f>
        <v/>
      </c>
      <c r="L275" s="9" t="n">
        <f aca="false">Resultados!$E$39*$B275-Resultados!$F$39*$B275-Premissas!$B$24-Resultados!$E$39*$B275*(Premissas!$B$14/100)</f>
        <v>29837.8</v>
      </c>
      <c r="M275" s="9" t="n">
        <f aca="false">L275-$C275</f>
        <v>29837.8</v>
      </c>
      <c r="N275" s="9" t="n">
        <f aca="false">N274+M275</f>
        <v>7660765.05999997</v>
      </c>
      <c r="O275" s="37" t="str">
        <f aca="false">IF(AND(N274&lt;0,N275&gt;=0,A275&lt;=MAX(120,Premissas!$B$15*12)),(A275-1)+(-N274)/M275,"")</f>
        <v/>
      </c>
      <c r="P275" s="9" t="n">
        <f aca="false">Resultados!$B$19*$B275-Resultados!$B$20*$B275-Premissas!$B$24-Resultados!$B$19*$B275*(Premissas!$B$14/100)</f>
        <v>24432.4</v>
      </c>
      <c r="Q275" s="9" t="n">
        <f aca="false">P275-$C275</f>
        <v>24432.4</v>
      </c>
      <c r="R275" s="9" t="n">
        <f aca="false">R274+Q275</f>
        <v>6213739.48000002</v>
      </c>
      <c r="S275" s="37" t="str">
        <f aca="false">IF(AND(R274&lt;0,R275&gt;=0,A275&lt;=MAX(120,Premissas!$B$15*12)),(A275-1)+(-R274)/Q275,"")</f>
        <v/>
      </c>
    </row>
    <row r="276" customFormat="false" ht="15" hidden="false" customHeight="false" outlineLevel="0" collapsed="false">
      <c r="A276" s="10" t="n">
        <f aca="false">A275+1</f>
        <v>272</v>
      </c>
      <c r="B276" s="36" t="n">
        <f aca="false">IF(Premissas!$B$9&lt;=1,1,MIN(1,Premissas!$B$8/100+(1-Premissas!$B$8/100)*(A276-1)/(Premissas!$B$9-1)))</f>
        <v>1</v>
      </c>
      <c r="C276" s="9" t="n">
        <f aca="false">IF(A276&lt;=Resultados!$B$9,Resultados!$B$10,0)</f>
        <v>0</v>
      </c>
      <c r="D276" s="9" t="n">
        <f aca="false">Resultados!$E$37*$B276-Resultados!$F$37*$B276-Premissas!$B$24-Resultados!$E$37*$B276*(Premissas!$B$14/100)</f>
        <v>19027</v>
      </c>
      <c r="E276" s="9" t="n">
        <f aca="false">D276-$C276</f>
        <v>19027</v>
      </c>
      <c r="F276" s="9" t="n">
        <f aca="false">F275+E276</f>
        <v>4785740.9</v>
      </c>
      <c r="G276" s="37" t="str">
        <f aca="false">IF(AND(F275&lt;0,F276&gt;=0,A276&lt;=MAX(120,Premissas!$B$15*12)),(A276-1)+(-F275)/E276,"")</f>
        <v/>
      </c>
      <c r="H276" s="9" t="n">
        <f aca="false">Resultados!$E$38*$B276-Resultados!$F$38*$B276-Premissas!$B$24-Resultados!$E$38*$B276*(Premissas!$B$14/100)</f>
        <v>24432.4</v>
      </c>
      <c r="I276" s="9" t="n">
        <f aca="false">H276-$C276</f>
        <v>24432.4</v>
      </c>
      <c r="J276" s="9" t="n">
        <f aca="false">J275+I276</f>
        <v>6238171.88000002</v>
      </c>
      <c r="K276" s="37" t="str">
        <f aca="false">IF(AND(J275&lt;0,J276&gt;=0,A276&lt;=MAX(120,Premissas!$B$15*12)),(A276-1)+(-J275)/I276,"")</f>
        <v/>
      </c>
      <c r="L276" s="9" t="n">
        <f aca="false">Resultados!$E$39*$B276-Resultados!$F$39*$B276-Premissas!$B$24-Resultados!$E$39*$B276*(Premissas!$B$14/100)</f>
        <v>29837.8</v>
      </c>
      <c r="M276" s="9" t="n">
        <f aca="false">L276-$C276</f>
        <v>29837.8</v>
      </c>
      <c r="N276" s="9" t="n">
        <f aca="false">N275+M276</f>
        <v>7690602.85999997</v>
      </c>
      <c r="O276" s="37" t="str">
        <f aca="false">IF(AND(N275&lt;0,N276&gt;=0,A276&lt;=MAX(120,Premissas!$B$15*12)),(A276-1)+(-N275)/M276,"")</f>
        <v/>
      </c>
      <c r="P276" s="9" t="n">
        <f aca="false">Resultados!$B$19*$B276-Resultados!$B$20*$B276-Premissas!$B$24-Resultados!$B$19*$B276*(Premissas!$B$14/100)</f>
        <v>24432.4</v>
      </c>
      <c r="Q276" s="9" t="n">
        <f aca="false">P276-$C276</f>
        <v>24432.4</v>
      </c>
      <c r="R276" s="9" t="n">
        <f aca="false">R275+Q276</f>
        <v>6238171.88000002</v>
      </c>
      <c r="S276" s="37" t="str">
        <f aca="false">IF(AND(R275&lt;0,R276&gt;=0,A276&lt;=MAX(120,Premissas!$B$15*12)),(A276-1)+(-R275)/Q276,"")</f>
        <v/>
      </c>
    </row>
    <row r="277" customFormat="false" ht="15" hidden="false" customHeight="false" outlineLevel="0" collapsed="false">
      <c r="A277" s="10" t="n">
        <f aca="false">A276+1</f>
        <v>273</v>
      </c>
      <c r="B277" s="36" t="n">
        <f aca="false">IF(Premissas!$B$9&lt;=1,1,MIN(1,Premissas!$B$8/100+(1-Premissas!$B$8/100)*(A277-1)/(Premissas!$B$9-1)))</f>
        <v>1</v>
      </c>
      <c r="C277" s="9" t="n">
        <f aca="false">IF(A277&lt;=Resultados!$B$9,Resultados!$B$10,0)</f>
        <v>0</v>
      </c>
      <c r="D277" s="9" t="n">
        <f aca="false">Resultados!$E$37*$B277-Resultados!$F$37*$B277-Premissas!$B$24-Resultados!$E$37*$B277*(Premissas!$B$14/100)</f>
        <v>19027</v>
      </c>
      <c r="E277" s="9" t="n">
        <f aca="false">D277-$C277</f>
        <v>19027</v>
      </c>
      <c r="F277" s="9" t="n">
        <f aca="false">F276+E277</f>
        <v>4804767.9</v>
      </c>
      <c r="G277" s="37" t="str">
        <f aca="false">IF(AND(F276&lt;0,F277&gt;=0,A277&lt;=MAX(120,Premissas!$B$15*12)),(A277-1)+(-F276)/E277,"")</f>
        <v/>
      </c>
      <c r="H277" s="9" t="n">
        <f aca="false">Resultados!$E$38*$B277-Resultados!$F$38*$B277-Premissas!$B$24-Resultados!$E$38*$B277*(Premissas!$B$14/100)</f>
        <v>24432.4</v>
      </c>
      <c r="I277" s="9" t="n">
        <f aca="false">H277-$C277</f>
        <v>24432.4</v>
      </c>
      <c r="J277" s="9" t="n">
        <f aca="false">J276+I277</f>
        <v>6262604.28000002</v>
      </c>
      <c r="K277" s="37" t="str">
        <f aca="false">IF(AND(J276&lt;0,J277&gt;=0,A277&lt;=MAX(120,Premissas!$B$15*12)),(A277-1)+(-J276)/I277,"")</f>
        <v/>
      </c>
      <c r="L277" s="9" t="n">
        <f aca="false">Resultados!$E$39*$B277-Resultados!$F$39*$B277-Premissas!$B$24-Resultados!$E$39*$B277*(Premissas!$B$14/100)</f>
        <v>29837.8</v>
      </c>
      <c r="M277" s="9" t="n">
        <f aca="false">L277-$C277</f>
        <v>29837.8</v>
      </c>
      <c r="N277" s="9" t="n">
        <f aca="false">N276+M277</f>
        <v>7720440.65999997</v>
      </c>
      <c r="O277" s="37" t="str">
        <f aca="false">IF(AND(N276&lt;0,N277&gt;=0,A277&lt;=MAX(120,Premissas!$B$15*12)),(A277-1)+(-N276)/M277,"")</f>
        <v/>
      </c>
      <c r="P277" s="9" t="n">
        <f aca="false">Resultados!$B$19*$B277-Resultados!$B$20*$B277-Premissas!$B$24-Resultados!$B$19*$B277*(Premissas!$B$14/100)</f>
        <v>24432.4</v>
      </c>
      <c r="Q277" s="9" t="n">
        <f aca="false">P277-$C277</f>
        <v>24432.4</v>
      </c>
      <c r="R277" s="9" t="n">
        <f aca="false">R276+Q277</f>
        <v>6262604.28000002</v>
      </c>
      <c r="S277" s="37" t="str">
        <f aca="false">IF(AND(R276&lt;0,R277&gt;=0,A277&lt;=MAX(120,Premissas!$B$15*12)),(A277-1)+(-R276)/Q277,"")</f>
        <v/>
      </c>
    </row>
    <row r="278" customFormat="false" ht="15" hidden="false" customHeight="false" outlineLevel="0" collapsed="false">
      <c r="A278" s="10" t="n">
        <f aca="false">A277+1</f>
        <v>274</v>
      </c>
      <c r="B278" s="36" t="n">
        <f aca="false">IF(Premissas!$B$9&lt;=1,1,MIN(1,Premissas!$B$8/100+(1-Premissas!$B$8/100)*(A278-1)/(Premissas!$B$9-1)))</f>
        <v>1</v>
      </c>
      <c r="C278" s="9" t="n">
        <f aca="false">IF(A278&lt;=Resultados!$B$9,Resultados!$B$10,0)</f>
        <v>0</v>
      </c>
      <c r="D278" s="9" t="n">
        <f aca="false">Resultados!$E$37*$B278-Resultados!$F$37*$B278-Premissas!$B$24-Resultados!$E$37*$B278*(Premissas!$B$14/100)</f>
        <v>19027</v>
      </c>
      <c r="E278" s="9" t="n">
        <f aca="false">D278-$C278</f>
        <v>19027</v>
      </c>
      <c r="F278" s="9" t="n">
        <f aca="false">F277+E278</f>
        <v>4823794.9</v>
      </c>
      <c r="G278" s="37" t="str">
        <f aca="false">IF(AND(F277&lt;0,F278&gt;=0,A278&lt;=MAX(120,Premissas!$B$15*12)),(A278-1)+(-F277)/E278,"")</f>
        <v/>
      </c>
      <c r="H278" s="9" t="n">
        <f aca="false">Resultados!$E$38*$B278-Resultados!$F$38*$B278-Premissas!$B$24-Resultados!$E$38*$B278*(Premissas!$B$14/100)</f>
        <v>24432.4</v>
      </c>
      <c r="I278" s="9" t="n">
        <f aca="false">H278-$C278</f>
        <v>24432.4</v>
      </c>
      <c r="J278" s="9" t="n">
        <f aca="false">J277+I278</f>
        <v>6287036.68000002</v>
      </c>
      <c r="K278" s="37" t="str">
        <f aca="false">IF(AND(J277&lt;0,J278&gt;=0,A278&lt;=MAX(120,Premissas!$B$15*12)),(A278-1)+(-J277)/I278,"")</f>
        <v/>
      </c>
      <c r="L278" s="9" t="n">
        <f aca="false">Resultados!$E$39*$B278-Resultados!$F$39*$B278-Premissas!$B$24-Resultados!$E$39*$B278*(Premissas!$B$14/100)</f>
        <v>29837.8</v>
      </c>
      <c r="M278" s="9" t="n">
        <f aca="false">L278-$C278</f>
        <v>29837.8</v>
      </c>
      <c r="N278" s="9" t="n">
        <f aca="false">N277+M278</f>
        <v>7750278.45999997</v>
      </c>
      <c r="O278" s="37" t="str">
        <f aca="false">IF(AND(N277&lt;0,N278&gt;=0,A278&lt;=MAX(120,Premissas!$B$15*12)),(A278-1)+(-N277)/M278,"")</f>
        <v/>
      </c>
      <c r="P278" s="9" t="n">
        <f aca="false">Resultados!$B$19*$B278-Resultados!$B$20*$B278-Premissas!$B$24-Resultados!$B$19*$B278*(Premissas!$B$14/100)</f>
        <v>24432.4</v>
      </c>
      <c r="Q278" s="9" t="n">
        <f aca="false">P278-$C278</f>
        <v>24432.4</v>
      </c>
      <c r="R278" s="9" t="n">
        <f aca="false">R277+Q278</f>
        <v>6287036.68000002</v>
      </c>
      <c r="S278" s="37" t="str">
        <f aca="false">IF(AND(R277&lt;0,R278&gt;=0,A278&lt;=MAX(120,Premissas!$B$15*12)),(A278-1)+(-R277)/Q278,"")</f>
        <v/>
      </c>
    </row>
    <row r="279" customFormat="false" ht="15" hidden="false" customHeight="false" outlineLevel="0" collapsed="false">
      <c r="A279" s="10" t="n">
        <f aca="false">A278+1</f>
        <v>275</v>
      </c>
      <c r="B279" s="36" t="n">
        <f aca="false">IF(Premissas!$B$9&lt;=1,1,MIN(1,Premissas!$B$8/100+(1-Premissas!$B$8/100)*(A279-1)/(Premissas!$B$9-1)))</f>
        <v>1</v>
      </c>
      <c r="C279" s="9" t="n">
        <f aca="false">IF(A279&lt;=Resultados!$B$9,Resultados!$B$10,0)</f>
        <v>0</v>
      </c>
      <c r="D279" s="9" t="n">
        <f aca="false">Resultados!$E$37*$B279-Resultados!$F$37*$B279-Premissas!$B$24-Resultados!$E$37*$B279*(Premissas!$B$14/100)</f>
        <v>19027</v>
      </c>
      <c r="E279" s="9" t="n">
        <f aca="false">D279-$C279</f>
        <v>19027</v>
      </c>
      <c r="F279" s="9" t="n">
        <f aca="false">F278+E279</f>
        <v>4842821.9</v>
      </c>
      <c r="G279" s="37" t="str">
        <f aca="false">IF(AND(F278&lt;0,F279&gt;=0,A279&lt;=MAX(120,Premissas!$B$15*12)),(A279-1)+(-F278)/E279,"")</f>
        <v/>
      </c>
      <c r="H279" s="9" t="n">
        <f aca="false">Resultados!$E$38*$B279-Resultados!$F$38*$B279-Premissas!$B$24-Resultados!$E$38*$B279*(Premissas!$B$14/100)</f>
        <v>24432.4</v>
      </c>
      <c r="I279" s="9" t="n">
        <f aca="false">H279-$C279</f>
        <v>24432.4</v>
      </c>
      <c r="J279" s="9" t="n">
        <f aca="false">J278+I279</f>
        <v>6311469.08000002</v>
      </c>
      <c r="K279" s="37" t="str">
        <f aca="false">IF(AND(J278&lt;0,J279&gt;=0,A279&lt;=MAX(120,Premissas!$B$15*12)),(A279-1)+(-J278)/I279,"")</f>
        <v/>
      </c>
      <c r="L279" s="9" t="n">
        <f aca="false">Resultados!$E$39*$B279-Resultados!$F$39*$B279-Premissas!$B$24-Resultados!$E$39*$B279*(Premissas!$B$14/100)</f>
        <v>29837.8</v>
      </c>
      <c r="M279" s="9" t="n">
        <f aca="false">L279-$C279</f>
        <v>29837.8</v>
      </c>
      <c r="N279" s="9" t="n">
        <f aca="false">N278+M279</f>
        <v>7780116.25999997</v>
      </c>
      <c r="O279" s="37" t="str">
        <f aca="false">IF(AND(N278&lt;0,N279&gt;=0,A279&lt;=MAX(120,Premissas!$B$15*12)),(A279-1)+(-N278)/M279,"")</f>
        <v/>
      </c>
      <c r="P279" s="9" t="n">
        <f aca="false">Resultados!$B$19*$B279-Resultados!$B$20*$B279-Premissas!$B$24-Resultados!$B$19*$B279*(Premissas!$B$14/100)</f>
        <v>24432.4</v>
      </c>
      <c r="Q279" s="9" t="n">
        <f aca="false">P279-$C279</f>
        <v>24432.4</v>
      </c>
      <c r="R279" s="9" t="n">
        <f aca="false">R278+Q279</f>
        <v>6311469.08000002</v>
      </c>
      <c r="S279" s="37" t="str">
        <f aca="false">IF(AND(R278&lt;0,R279&gt;=0,A279&lt;=MAX(120,Premissas!$B$15*12)),(A279-1)+(-R278)/Q279,"")</f>
        <v/>
      </c>
    </row>
    <row r="280" customFormat="false" ht="15" hidden="false" customHeight="false" outlineLevel="0" collapsed="false">
      <c r="A280" s="10" t="n">
        <f aca="false">A279+1</f>
        <v>276</v>
      </c>
      <c r="B280" s="36" t="n">
        <f aca="false">IF(Premissas!$B$9&lt;=1,1,MIN(1,Premissas!$B$8/100+(1-Premissas!$B$8/100)*(A280-1)/(Premissas!$B$9-1)))</f>
        <v>1</v>
      </c>
      <c r="C280" s="9" t="n">
        <f aca="false">IF(A280&lt;=Resultados!$B$9,Resultados!$B$10,0)</f>
        <v>0</v>
      </c>
      <c r="D280" s="9" t="n">
        <f aca="false">Resultados!$E$37*$B280-Resultados!$F$37*$B280-Premissas!$B$24-Resultados!$E$37*$B280*(Premissas!$B$14/100)</f>
        <v>19027</v>
      </c>
      <c r="E280" s="9" t="n">
        <f aca="false">D280-$C280</f>
        <v>19027</v>
      </c>
      <c r="F280" s="9" t="n">
        <f aca="false">F279+E280</f>
        <v>4861848.9</v>
      </c>
      <c r="G280" s="37" t="str">
        <f aca="false">IF(AND(F279&lt;0,F280&gt;=0,A280&lt;=MAX(120,Premissas!$B$15*12)),(A280-1)+(-F279)/E280,"")</f>
        <v/>
      </c>
      <c r="H280" s="9" t="n">
        <f aca="false">Resultados!$E$38*$B280-Resultados!$F$38*$B280-Premissas!$B$24-Resultados!$E$38*$B280*(Premissas!$B$14/100)</f>
        <v>24432.4</v>
      </c>
      <c r="I280" s="9" t="n">
        <f aca="false">H280-$C280</f>
        <v>24432.4</v>
      </c>
      <c r="J280" s="9" t="n">
        <f aca="false">J279+I280</f>
        <v>6335901.48000002</v>
      </c>
      <c r="K280" s="37" t="str">
        <f aca="false">IF(AND(J279&lt;0,J280&gt;=0,A280&lt;=MAX(120,Premissas!$B$15*12)),(A280-1)+(-J279)/I280,"")</f>
        <v/>
      </c>
      <c r="L280" s="9" t="n">
        <f aca="false">Resultados!$E$39*$B280-Resultados!$F$39*$B280-Premissas!$B$24-Resultados!$E$39*$B280*(Premissas!$B$14/100)</f>
        <v>29837.8</v>
      </c>
      <c r="M280" s="9" t="n">
        <f aca="false">L280-$C280</f>
        <v>29837.8</v>
      </c>
      <c r="N280" s="9" t="n">
        <f aca="false">N279+M280</f>
        <v>7809954.05999997</v>
      </c>
      <c r="O280" s="37" t="str">
        <f aca="false">IF(AND(N279&lt;0,N280&gt;=0,A280&lt;=MAX(120,Premissas!$B$15*12)),(A280-1)+(-N279)/M280,"")</f>
        <v/>
      </c>
      <c r="P280" s="9" t="n">
        <f aca="false">Resultados!$B$19*$B280-Resultados!$B$20*$B280-Premissas!$B$24-Resultados!$B$19*$B280*(Premissas!$B$14/100)</f>
        <v>24432.4</v>
      </c>
      <c r="Q280" s="9" t="n">
        <f aca="false">P280-$C280</f>
        <v>24432.4</v>
      </c>
      <c r="R280" s="9" t="n">
        <f aca="false">R279+Q280</f>
        <v>6335901.48000002</v>
      </c>
      <c r="S280" s="37" t="str">
        <f aca="false">IF(AND(R279&lt;0,R280&gt;=0,A280&lt;=MAX(120,Premissas!$B$15*12)),(A280-1)+(-R279)/Q280,"")</f>
        <v/>
      </c>
    </row>
    <row r="281" customFormat="false" ht="15" hidden="false" customHeight="false" outlineLevel="0" collapsed="false">
      <c r="A281" s="10" t="n">
        <f aca="false">A280+1</f>
        <v>277</v>
      </c>
      <c r="B281" s="36" t="n">
        <f aca="false">IF(Premissas!$B$9&lt;=1,1,MIN(1,Premissas!$B$8/100+(1-Premissas!$B$8/100)*(A281-1)/(Premissas!$B$9-1)))</f>
        <v>1</v>
      </c>
      <c r="C281" s="9" t="n">
        <f aca="false">IF(A281&lt;=Resultados!$B$9,Resultados!$B$10,0)</f>
        <v>0</v>
      </c>
      <c r="D281" s="9" t="n">
        <f aca="false">Resultados!$E$37*$B281-Resultados!$F$37*$B281-Premissas!$B$24-Resultados!$E$37*$B281*(Premissas!$B$14/100)</f>
        <v>19027</v>
      </c>
      <c r="E281" s="9" t="n">
        <f aca="false">D281-$C281</f>
        <v>19027</v>
      </c>
      <c r="F281" s="9" t="n">
        <f aca="false">F280+E281</f>
        <v>4880875.9</v>
      </c>
      <c r="G281" s="37" t="str">
        <f aca="false">IF(AND(F280&lt;0,F281&gt;=0,A281&lt;=MAX(120,Premissas!$B$15*12)),(A281-1)+(-F280)/E281,"")</f>
        <v/>
      </c>
      <c r="H281" s="9" t="n">
        <f aca="false">Resultados!$E$38*$B281-Resultados!$F$38*$B281-Premissas!$B$24-Resultados!$E$38*$B281*(Premissas!$B$14/100)</f>
        <v>24432.4</v>
      </c>
      <c r="I281" s="9" t="n">
        <f aca="false">H281-$C281</f>
        <v>24432.4</v>
      </c>
      <c r="J281" s="9" t="n">
        <f aca="false">J280+I281</f>
        <v>6360333.88000002</v>
      </c>
      <c r="K281" s="37" t="str">
        <f aca="false">IF(AND(J280&lt;0,J281&gt;=0,A281&lt;=MAX(120,Premissas!$B$15*12)),(A281-1)+(-J280)/I281,"")</f>
        <v/>
      </c>
      <c r="L281" s="9" t="n">
        <f aca="false">Resultados!$E$39*$B281-Resultados!$F$39*$B281-Premissas!$B$24-Resultados!$E$39*$B281*(Premissas!$B$14/100)</f>
        <v>29837.8</v>
      </c>
      <c r="M281" s="9" t="n">
        <f aca="false">L281-$C281</f>
        <v>29837.8</v>
      </c>
      <c r="N281" s="9" t="n">
        <f aca="false">N280+M281</f>
        <v>7839791.85999997</v>
      </c>
      <c r="O281" s="37" t="str">
        <f aca="false">IF(AND(N280&lt;0,N281&gt;=0,A281&lt;=MAX(120,Premissas!$B$15*12)),(A281-1)+(-N280)/M281,"")</f>
        <v/>
      </c>
      <c r="P281" s="9" t="n">
        <f aca="false">Resultados!$B$19*$B281-Resultados!$B$20*$B281-Premissas!$B$24-Resultados!$B$19*$B281*(Premissas!$B$14/100)</f>
        <v>24432.4</v>
      </c>
      <c r="Q281" s="9" t="n">
        <f aca="false">P281-$C281</f>
        <v>24432.4</v>
      </c>
      <c r="R281" s="9" t="n">
        <f aca="false">R280+Q281</f>
        <v>6360333.88000002</v>
      </c>
      <c r="S281" s="37" t="str">
        <f aca="false">IF(AND(R280&lt;0,R281&gt;=0,A281&lt;=MAX(120,Premissas!$B$15*12)),(A281-1)+(-R280)/Q281,"")</f>
        <v/>
      </c>
    </row>
    <row r="282" customFormat="false" ht="15" hidden="false" customHeight="false" outlineLevel="0" collapsed="false">
      <c r="A282" s="10" t="n">
        <f aca="false">A281+1</f>
        <v>278</v>
      </c>
      <c r="B282" s="36" t="n">
        <f aca="false">IF(Premissas!$B$9&lt;=1,1,MIN(1,Premissas!$B$8/100+(1-Premissas!$B$8/100)*(A282-1)/(Premissas!$B$9-1)))</f>
        <v>1</v>
      </c>
      <c r="C282" s="9" t="n">
        <f aca="false">IF(A282&lt;=Resultados!$B$9,Resultados!$B$10,0)</f>
        <v>0</v>
      </c>
      <c r="D282" s="9" t="n">
        <f aca="false">Resultados!$E$37*$B282-Resultados!$F$37*$B282-Premissas!$B$24-Resultados!$E$37*$B282*(Premissas!$B$14/100)</f>
        <v>19027</v>
      </c>
      <c r="E282" s="9" t="n">
        <f aca="false">D282-$C282</f>
        <v>19027</v>
      </c>
      <c r="F282" s="9" t="n">
        <f aca="false">F281+E282</f>
        <v>4899902.9</v>
      </c>
      <c r="G282" s="37" t="str">
        <f aca="false">IF(AND(F281&lt;0,F282&gt;=0,A282&lt;=MAX(120,Premissas!$B$15*12)),(A282-1)+(-F281)/E282,"")</f>
        <v/>
      </c>
      <c r="H282" s="9" t="n">
        <f aca="false">Resultados!$E$38*$B282-Resultados!$F$38*$B282-Premissas!$B$24-Resultados!$E$38*$B282*(Premissas!$B$14/100)</f>
        <v>24432.4</v>
      </c>
      <c r="I282" s="9" t="n">
        <f aca="false">H282-$C282</f>
        <v>24432.4</v>
      </c>
      <c r="J282" s="9" t="n">
        <f aca="false">J281+I282</f>
        <v>6384766.28000002</v>
      </c>
      <c r="K282" s="37" t="str">
        <f aca="false">IF(AND(J281&lt;0,J282&gt;=0,A282&lt;=MAX(120,Premissas!$B$15*12)),(A282-1)+(-J281)/I282,"")</f>
        <v/>
      </c>
      <c r="L282" s="9" t="n">
        <f aca="false">Resultados!$E$39*$B282-Resultados!$F$39*$B282-Premissas!$B$24-Resultados!$E$39*$B282*(Premissas!$B$14/100)</f>
        <v>29837.8</v>
      </c>
      <c r="M282" s="9" t="n">
        <f aca="false">L282-$C282</f>
        <v>29837.8</v>
      </c>
      <c r="N282" s="9" t="n">
        <f aca="false">N281+M282</f>
        <v>7869629.65999997</v>
      </c>
      <c r="O282" s="37" t="str">
        <f aca="false">IF(AND(N281&lt;0,N282&gt;=0,A282&lt;=MAX(120,Premissas!$B$15*12)),(A282-1)+(-N281)/M282,"")</f>
        <v/>
      </c>
      <c r="P282" s="9" t="n">
        <f aca="false">Resultados!$B$19*$B282-Resultados!$B$20*$B282-Premissas!$B$24-Resultados!$B$19*$B282*(Premissas!$B$14/100)</f>
        <v>24432.4</v>
      </c>
      <c r="Q282" s="9" t="n">
        <f aca="false">P282-$C282</f>
        <v>24432.4</v>
      </c>
      <c r="R282" s="9" t="n">
        <f aca="false">R281+Q282</f>
        <v>6384766.28000002</v>
      </c>
      <c r="S282" s="37" t="str">
        <f aca="false">IF(AND(R281&lt;0,R282&gt;=0,A282&lt;=MAX(120,Premissas!$B$15*12)),(A282-1)+(-R281)/Q282,"")</f>
        <v/>
      </c>
    </row>
    <row r="283" customFormat="false" ht="15" hidden="false" customHeight="false" outlineLevel="0" collapsed="false">
      <c r="A283" s="10" t="n">
        <f aca="false">A282+1</f>
        <v>279</v>
      </c>
      <c r="B283" s="36" t="n">
        <f aca="false">IF(Premissas!$B$9&lt;=1,1,MIN(1,Premissas!$B$8/100+(1-Premissas!$B$8/100)*(A283-1)/(Premissas!$B$9-1)))</f>
        <v>1</v>
      </c>
      <c r="C283" s="9" t="n">
        <f aca="false">IF(A283&lt;=Resultados!$B$9,Resultados!$B$10,0)</f>
        <v>0</v>
      </c>
      <c r="D283" s="9" t="n">
        <f aca="false">Resultados!$E$37*$B283-Resultados!$F$37*$B283-Premissas!$B$24-Resultados!$E$37*$B283*(Premissas!$B$14/100)</f>
        <v>19027</v>
      </c>
      <c r="E283" s="9" t="n">
        <f aca="false">D283-$C283</f>
        <v>19027</v>
      </c>
      <c r="F283" s="9" t="n">
        <f aca="false">F282+E283</f>
        <v>4918929.9</v>
      </c>
      <c r="G283" s="37" t="str">
        <f aca="false">IF(AND(F282&lt;0,F283&gt;=0,A283&lt;=MAX(120,Premissas!$B$15*12)),(A283-1)+(-F282)/E283,"")</f>
        <v/>
      </c>
      <c r="H283" s="9" t="n">
        <f aca="false">Resultados!$E$38*$B283-Resultados!$F$38*$B283-Premissas!$B$24-Resultados!$E$38*$B283*(Premissas!$B$14/100)</f>
        <v>24432.4</v>
      </c>
      <c r="I283" s="9" t="n">
        <f aca="false">H283-$C283</f>
        <v>24432.4</v>
      </c>
      <c r="J283" s="9" t="n">
        <f aca="false">J282+I283</f>
        <v>6409198.68000002</v>
      </c>
      <c r="K283" s="37" t="str">
        <f aca="false">IF(AND(J282&lt;0,J283&gt;=0,A283&lt;=MAX(120,Premissas!$B$15*12)),(A283-1)+(-J282)/I283,"")</f>
        <v/>
      </c>
      <c r="L283" s="9" t="n">
        <f aca="false">Resultados!$E$39*$B283-Resultados!$F$39*$B283-Premissas!$B$24-Resultados!$E$39*$B283*(Premissas!$B$14/100)</f>
        <v>29837.8</v>
      </c>
      <c r="M283" s="9" t="n">
        <f aca="false">L283-$C283</f>
        <v>29837.8</v>
      </c>
      <c r="N283" s="9" t="n">
        <f aca="false">N282+M283</f>
        <v>7899467.45999997</v>
      </c>
      <c r="O283" s="37" t="str">
        <f aca="false">IF(AND(N282&lt;0,N283&gt;=0,A283&lt;=MAX(120,Premissas!$B$15*12)),(A283-1)+(-N282)/M283,"")</f>
        <v/>
      </c>
      <c r="P283" s="9" t="n">
        <f aca="false">Resultados!$B$19*$B283-Resultados!$B$20*$B283-Premissas!$B$24-Resultados!$B$19*$B283*(Premissas!$B$14/100)</f>
        <v>24432.4</v>
      </c>
      <c r="Q283" s="9" t="n">
        <f aca="false">P283-$C283</f>
        <v>24432.4</v>
      </c>
      <c r="R283" s="9" t="n">
        <f aca="false">R282+Q283</f>
        <v>6409198.68000002</v>
      </c>
      <c r="S283" s="37" t="str">
        <f aca="false">IF(AND(R282&lt;0,R283&gt;=0,A283&lt;=MAX(120,Premissas!$B$15*12)),(A283-1)+(-R282)/Q283,"")</f>
        <v/>
      </c>
    </row>
    <row r="284" customFormat="false" ht="15" hidden="false" customHeight="false" outlineLevel="0" collapsed="false">
      <c r="A284" s="10" t="n">
        <f aca="false">A283+1</f>
        <v>280</v>
      </c>
      <c r="B284" s="36" t="n">
        <f aca="false">IF(Premissas!$B$9&lt;=1,1,MIN(1,Premissas!$B$8/100+(1-Premissas!$B$8/100)*(A284-1)/(Premissas!$B$9-1)))</f>
        <v>1</v>
      </c>
      <c r="C284" s="9" t="n">
        <f aca="false">IF(A284&lt;=Resultados!$B$9,Resultados!$B$10,0)</f>
        <v>0</v>
      </c>
      <c r="D284" s="9" t="n">
        <f aca="false">Resultados!$E$37*$B284-Resultados!$F$37*$B284-Premissas!$B$24-Resultados!$E$37*$B284*(Premissas!$B$14/100)</f>
        <v>19027</v>
      </c>
      <c r="E284" s="9" t="n">
        <f aca="false">D284-$C284</f>
        <v>19027</v>
      </c>
      <c r="F284" s="9" t="n">
        <f aca="false">F283+E284</f>
        <v>4937956.9</v>
      </c>
      <c r="G284" s="37" t="str">
        <f aca="false">IF(AND(F283&lt;0,F284&gt;=0,A284&lt;=MAX(120,Premissas!$B$15*12)),(A284-1)+(-F283)/E284,"")</f>
        <v/>
      </c>
      <c r="H284" s="9" t="n">
        <f aca="false">Resultados!$E$38*$B284-Resultados!$F$38*$B284-Premissas!$B$24-Resultados!$E$38*$B284*(Premissas!$B$14/100)</f>
        <v>24432.4</v>
      </c>
      <c r="I284" s="9" t="n">
        <f aca="false">H284-$C284</f>
        <v>24432.4</v>
      </c>
      <c r="J284" s="9" t="n">
        <f aca="false">J283+I284</f>
        <v>6433631.08000002</v>
      </c>
      <c r="K284" s="37" t="str">
        <f aca="false">IF(AND(J283&lt;0,J284&gt;=0,A284&lt;=MAX(120,Premissas!$B$15*12)),(A284-1)+(-J283)/I284,"")</f>
        <v/>
      </c>
      <c r="L284" s="9" t="n">
        <f aca="false">Resultados!$E$39*$B284-Resultados!$F$39*$B284-Premissas!$B$24-Resultados!$E$39*$B284*(Premissas!$B$14/100)</f>
        <v>29837.8</v>
      </c>
      <c r="M284" s="9" t="n">
        <f aca="false">L284-$C284</f>
        <v>29837.8</v>
      </c>
      <c r="N284" s="9" t="n">
        <f aca="false">N283+M284</f>
        <v>7929305.25999997</v>
      </c>
      <c r="O284" s="37" t="str">
        <f aca="false">IF(AND(N283&lt;0,N284&gt;=0,A284&lt;=MAX(120,Premissas!$B$15*12)),(A284-1)+(-N283)/M284,"")</f>
        <v/>
      </c>
      <c r="P284" s="9" t="n">
        <f aca="false">Resultados!$B$19*$B284-Resultados!$B$20*$B284-Premissas!$B$24-Resultados!$B$19*$B284*(Premissas!$B$14/100)</f>
        <v>24432.4</v>
      </c>
      <c r="Q284" s="9" t="n">
        <f aca="false">P284-$C284</f>
        <v>24432.4</v>
      </c>
      <c r="R284" s="9" t="n">
        <f aca="false">R283+Q284</f>
        <v>6433631.08000002</v>
      </c>
      <c r="S284" s="37" t="str">
        <f aca="false">IF(AND(R283&lt;0,R284&gt;=0,A284&lt;=MAX(120,Premissas!$B$15*12)),(A284-1)+(-R283)/Q284,"")</f>
        <v/>
      </c>
    </row>
    <row r="285" customFormat="false" ht="15" hidden="false" customHeight="false" outlineLevel="0" collapsed="false">
      <c r="A285" s="10" t="n">
        <f aca="false">A284+1</f>
        <v>281</v>
      </c>
      <c r="B285" s="36" t="n">
        <f aca="false">IF(Premissas!$B$9&lt;=1,1,MIN(1,Premissas!$B$8/100+(1-Premissas!$B$8/100)*(A285-1)/(Premissas!$B$9-1)))</f>
        <v>1</v>
      </c>
      <c r="C285" s="9" t="n">
        <f aca="false">IF(A285&lt;=Resultados!$B$9,Resultados!$B$10,0)</f>
        <v>0</v>
      </c>
      <c r="D285" s="9" t="n">
        <f aca="false">Resultados!$E$37*$B285-Resultados!$F$37*$B285-Premissas!$B$24-Resultados!$E$37*$B285*(Premissas!$B$14/100)</f>
        <v>19027</v>
      </c>
      <c r="E285" s="9" t="n">
        <f aca="false">D285-$C285</f>
        <v>19027</v>
      </c>
      <c r="F285" s="9" t="n">
        <f aca="false">F284+E285</f>
        <v>4956983.9</v>
      </c>
      <c r="G285" s="37" t="str">
        <f aca="false">IF(AND(F284&lt;0,F285&gt;=0,A285&lt;=MAX(120,Premissas!$B$15*12)),(A285-1)+(-F284)/E285,"")</f>
        <v/>
      </c>
      <c r="H285" s="9" t="n">
        <f aca="false">Resultados!$E$38*$B285-Resultados!$F$38*$B285-Premissas!$B$24-Resultados!$E$38*$B285*(Premissas!$B$14/100)</f>
        <v>24432.4</v>
      </c>
      <c r="I285" s="9" t="n">
        <f aca="false">H285-$C285</f>
        <v>24432.4</v>
      </c>
      <c r="J285" s="9" t="n">
        <f aca="false">J284+I285</f>
        <v>6458063.48000002</v>
      </c>
      <c r="K285" s="37" t="str">
        <f aca="false">IF(AND(J284&lt;0,J285&gt;=0,A285&lt;=MAX(120,Premissas!$B$15*12)),(A285-1)+(-J284)/I285,"")</f>
        <v/>
      </c>
      <c r="L285" s="9" t="n">
        <f aca="false">Resultados!$E$39*$B285-Resultados!$F$39*$B285-Premissas!$B$24-Resultados!$E$39*$B285*(Premissas!$B$14/100)</f>
        <v>29837.8</v>
      </c>
      <c r="M285" s="9" t="n">
        <f aca="false">L285-$C285</f>
        <v>29837.8</v>
      </c>
      <c r="N285" s="9" t="n">
        <f aca="false">N284+M285</f>
        <v>7959143.05999997</v>
      </c>
      <c r="O285" s="37" t="str">
        <f aca="false">IF(AND(N284&lt;0,N285&gt;=0,A285&lt;=MAX(120,Premissas!$B$15*12)),(A285-1)+(-N284)/M285,"")</f>
        <v/>
      </c>
      <c r="P285" s="9" t="n">
        <f aca="false">Resultados!$B$19*$B285-Resultados!$B$20*$B285-Premissas!$B$24-Resultados!$B$19*$B285*(Premissas!$B$14/100)</f>
        <v>24432.4</v>
      </c>
      <c r="Q285" s="9" t="n">
        <f aca="false">P285-$C285</f>
        <v>24432.4</v>
      </c>
      <c r="R285" s="9" t="n">
        <f aca="false">R284+Q285</f>
        <v>6458063.48000002</v>
      </c>
      <c r="S285" s="37" t="str">
        <f aca="false">IF(AND(R284&lt;0,R285&gt;=0,A285&lt;=MAX(120,Premissas!$B$15*12)),(A285-1)+(-R284)/Q285,"")</f>
        <v/>
      </c>
    </row>
    <row r="286" customFormat="false" ht="15" hidden="false" customHeight="false" outlineLevel="0" collapsed="false">
      <c r="A286" s="10" t="n">
        <f aca="false">A285+1</f>
        <v>282</v>
      </c>
      <c r="B286" s="36" t="n">
        <f aca="false">IF(Premissas!$B$9&lt;=1,1,MIN(1,Premissas!$B$8/100+(1-Premissas!$B$8/100)*(A286-1)/(Premissas!$B$9-1)))</f>
        <v>1</v>
      </c>
      <c r="C286" s="9" t="n">
        <f aca="false">IF(A286&lt;=Resultados!$B$9,Resultados!$B$10,0)</f>
        <v>0</v>
      </c>
      <c r="D286" s="9" t="n">
        <f aca="false">Resultados!$E$37*$B286-Resultados!$F$37*$B286-Premissas!$B$24-Resultados!$E$37*$B286*(Premissas!$B$14/100)</f>
        <v>19027</v>
      </c>
      <c r="E286" s="9" t="n">
        <f aca="false">D286-$C286</f>
        <v>19027</v>
      </c>
      <c r="F286" s="9" t="n">
        <f aca="false">F285+E286</f>
        <v>4976010.9</v>
      </c>
      <c r="G286" s="37" t="str">
        <f aca="false">IF(AND(F285&lt;0,F286&gt;=0,A286&lt;=MAX(120,Premissas!$B$15*12)),(A286-1)+(-F285)/E286,"")</f>
        <v/>
      </c>
      <c r="H286" s="9" t="n">
        <f aca="false">Resultados!$E$38*$B286-Resultados!$F$38*$B286-Premissas!$B$24-Resultados!$E$38*$B286*(Premissas!$B$14/100)</f>
        <v>24432.4</v>
      </c>
      <c r="I286" s="9" t="n">
        <f aca="false">H286-$C286</f>
        <v>24432.4</v>
      </c>
      <c r="J286" s="9" t="n">
        <f aca="false">J285+I286</f>
        <v>6482495.88000002</v>
      </c>
      <c r="K286" s="37" t="str">
        <f aca="false">IF(AND(J285&lt;0,J286&gt;=0,A286&lt;=MAX(120,Premissas!$B$15*12)),(A286-1)+(-J285)/I286,"")</f>
        <v/>
      </c>
      <c r="L286" s="9" t="n">
        <f aca="false">Resultados!$E$39*$B286-Resultados!$F$39*$B286-Premissas!$B$24-Resultados!$E$39*$B286*(Premissas!$B$14/100)</f>
        <v>29837.8</v>
      </c>
      <c r="M286" s="9" t="n">
        <f aca="false">L286-$C286</f>
        <v>29837.8</v>
      </c>
      <c r="N286" s="9" t="n">
        <f aca="false">N285+M286</f>
        <v>7988980.85999997</v>
      </c>
      <c r="O286" s="37" t="str">
        <f aca="false">IF(AND(N285&lt;0,N286&gt;=0,A286&lt;=MAX(120,Premissas!$B$15*12)),(A286-1)+(-N285)/M286,"")</f>
        <v/>
      </c>
      <c r="P286" s="9" t="n">
        <f aca="false">Resultados!$B$19*$B286-Resultados!$B$20*$B286-Premissas!$B$24-Resultados!$B$19*$B286*(Premissas!$B$14/100)</f>
        <v>24432.4</v>
      </c>
      <c r="Q286" s="9" t="n">
        <f aca="false">P286-$C286</f>
        <v>24432.4</v>
      </c>
      <c r="R286" s="9" t="n">
        <f aca="false">R285+Q286</f>
        <v>6482495.88000002</v>
      </c>
      <c r="S286" s="37" t="str">
        <f aca="false">IF(AND(R285&lt;0,R286&gt;=0,A286&lt;=MAX(120,Premissas!$B$15*12)),(A286-1)+(-R285)/Q286,"")</f>
        <v/>
      </c>
    </row>
    <row r="287" customFormat="false" ht="15" hidden="false" customHeight="false" outlineLevel="0" collapsed="false">
      <c r="A287" s="10" t="n">
        <f aca="false">A286+1</f>
        <v>283</v>
      </c>
      <c r="B287" s="36" t="n">
        <f aca="false">IF(Premissas!$B$9&lt;=1,1,MIN(1,Premissas!$B$8/100+(1-Premissas!$B$8/100)*(A287-1)/(Premissas!$B$9-1)))</f>
        <v>1</v>
      </c>
      <c r="C287" s="9" t="n">
        <f aca="false">IF(A287&lt;=Resultados!$B$9,Resultados!$B$10,0)</f>
        <v>0</v>
      </c>
      <c r="D287" s="9" t="n">
        <f aca="false">Resultados!$E$37*$B287-Resultados!$F$37*$B287-Premissas!$B$24-Resultados!$E$37*$B287*(Premissas!$B$14/100)</f>
        <v>19027</v>
      </c>
      <c r="E287" s="9" t="n">
        <f aca="false">D287-$C287</f>
        <v>19027</v>
      </c>
      <c r="F287" s="9" t="n">
        <f aca="false">F286+E287</f>
        <v>4995037.9</v>
      </c>
      <c r="G287" s="37" t="str">
        <f aca="false">IF(AND(F286&lt;0,F287&gt;=0,A287&lt;=MAX(120,Premissas!$B$15*12)),(A287-1)+(-F286)/E287,"")</f>
        <v/>
      </c>
      <c r="H287" s="9" t="n">
        <f aca="false">Resultados!$E$38*$B287-Resultados!$F$38*$B287-Premissas!$B$24-Resultados!$E$38*$B287*(Premissas!$B$14/100)</f>
        <v>24432.4</v>
      </c>
      <c r="I287" s="9" t="n">
        <f aca="false">H287-$C287</f>
        <v>24432.4</v>
      </c>
      <c r="J287" s="9" t="n">
        <f aca="false">J286+I287</f>
        <v>6506928.28000002</v>
      </c>
      <c r="K287" s="37" t="str">
        <f aca="false">IF(AND(J286&lt;0,J287&gt;=0,A287&lt;=MAX(120,Premissas!$B$15*12)),(A287-1)+(-J286)/I287,"")</f>
        <v/>
      </c>
      <c r="L287" s="9" t="n">
        <f aca="false">Resultados!$E$39*$B287-Resultados!$F$39*$B287-Premissas!$B$24-Resultados!$E$39*$B287*(Premissas!$B$14/100)</f>
        <v>29837.8</v>
      </c>
      <c r="M287" s="9" t="n">
        <f aca="false">L287-$C287</f>
        <v>29837.8</v>
      </c>
      <c r="N287" s="9" t="n">
        <f aca="false">N286+M287</f>
        <v>8018818.65999997</v>
      </c>
      <c r="O287" s="37" t="str">
        <f aca="false">IF(AND(N286&lt;0,N287&gt;=0,A287&lt;=MAX(120,Premissas!$B$15*12)),(A287-1)+(-N286)/M287,"")</f>
        <v/>
      </c>
      <c r="P287" s="9" t="n">
        <f aca="false">Resultados!$B$19*$B287-Resultados!$B$20*$B287-Premissas!$B$24-Resultados!$B$19*$B287*(Premissas!$B$14/100)</f>
        <v>24432.4</v>
      </c>
      <c r="Q287" s="9" t="n">
        <f aca="false">P287-$C287</f>
        <v>24432.4</v>
      </c>
      <c r="R287" s="9" t="n">
        <f aca="false">R286+Q287</f>
        <v>6506928.28000002</v>
      </c>
      <c r="S287" s="37" t="str">
        <f aca="false">IF(AND(R286&lt;0,R287&gt;=0,A287&lt;=MAX(120,Premissas!$B$15*12)),(A287-1)+(-R286)/Q287,"")</f>
        <v/>
      </c>
    </row>
    <row r="288" customFormat="false" ht="15" hidden="false" customHeight="false" outlineLevel="0" collapsed="false">
      <c r="A288" s="10" t="n">
        <f aca="false">A287+1</f>
        <v>284</v>
      </c>
      <c r="B288" s="36" t="n">
        <f aca="false">IF(Premissas!$B$9&lt;=1,1,MIN(1,Premissas!$B$8/100+(1-Premissas!$B$8/100)*(A288-1)/(Premissas!$B$9-1)))</f>
        <v>1</v>
      </c>
      <c r="C288" s="9" t="n">
        <f aca="false">IF(A288&lt;=Resultados!$B$9,Resultados!$B$10,0)</f>
        <v>0</v>
      </c>
      <c r="D288" s="9" t="n">
        <f aca="false">Resultados!$E$37*$B288-Resultados!$F$37*$B288-Premissas!$B$24-Resultados!$E$37*$B288*(Premissas!$B$14/100)</f>
        <v>19027</v>
      </c>
      <c r="E288" s="9" t="n">
        <f aca="false">D288-$C288</f>
        <v>19027</v>
      </c>
      <c r="F288" s="9" t="n">
        <f aca="false">F287+E288</f>
        <v>5014064.9</v>
      </c>
      <c r="G288" s="37" t="str">
        <f aca="false">IF(AND(F287&lt;0,F288&gt;=0,A288&lt;=MAX(120,Premissas!$B$15*12)),(A288-1)+(-F287)/E288,"")</f>
        <v/>
      </c>
      <c r="H288" s="9" t="n">
        <f aca="false">Resultados!$E$38*$B288-Resultados!$F$38*$B288-Premissas!$B$24-Resultados!$E$38*$B288*(Premissas!$B$14/100)</f>
        <v>24432.4</v>
      </c>
      <c r="I288" s="9" t="n">
        <f aca="false">H288-$C288</f>
        <v>24432.4</v>
      </c>
      <c r="J288" s="9" t="n">
        <f aca="false">J287+I288</f>
        <v>6531360.68000003</v>
      </c>
      <c r="K288" s="37" t="str">
        <f aca="false">IF(AND(J287&lt;0,J288&gt;=0,A288&lt;=MAX(120,Premissas!$B$15*12)),(A288-1)+(-J287)/I288,"")</f>
        <v/>
      </c>
      <c r="L288" s="9" t="n">
        <f aca="false">Resultados!$E$39*$B288-Resultados!$F$39*$B288-Premissas!$B$24-Resultados!$E$39*$B288*(Premissas!$B$14/100)</f>
        <v>29837.8</v>
      </c>
      <c r="M288" s="9" t="n">
        <f aca="false">L288-$C288</f>
        <v>29837.8</v>
      </c>
      <c r="N288" s="9" t="n">
        <f aca="false">N287+M288</f>
        <v>8048656.45999997</v>
      </c>
      <c r="O288" s="37" t="str">
        <f aca="false">IF(AND(N287&lt;0,N288&gt;=0,A288&lt;=MAX(120,Premissas!$B$15*12)),(A288-1)+(-N287)/M288,"")</f>
        <v/>
      </c>
      <c r="P288" s="9" t="n">
        <f aca="false">Resultados!$B$19*$B288-Resultados!$B$20*$B288-Premissas!$B$24-Resultados!$B$19*$B288*(Premissas!$B$14/100)</f>
        <v>24432.4</v>
      </c>
      <c r="Q288" s="9" t="n">
        <f aca="false">P288-$C288</f>
        <v>24432.4</v>
      </c>
      <c r="R288" s="9" t="n">
        <f aca="false">R287+Q288</f>
        <v>6531360.68000003</v>
      </c>
      <c r="S288" s="37" t="str">
        <f aca="false">IF(AND(R287&lt;0,R288&gt;=0,A288&lt;=MAX(120,Premissas!$B$15*12)),(A288-1)+(-R287)/Q288,"")</f>
        <v/>
      </c>
    </row>
    <row r="289" customFormat="false" ht="15" hidden="false" customHeight="false" outlineLevel="0" collapsed="false">
      <c r="A289" s="10" t="n">
        <f aca="false">A288+1</f>
        <v>285</v>
      </c>
      <c r="B289" s="36" t="n">
        <f aca="false">IF(Premissas!$B$9&lt;=1,1,MIN(1,Premissas!$B$8/100+(1-Premissas!$B$8/100)*(A289-1)/(Premissas!$B$9-1)))</f>
        <v>1</v>
      </c>
      <c r="C289" s="9" t="n">
        <f aca="false">IF(A289&lt;=Resultados!$B$9,Resultados!$B$10,0)</f>
        <v>0</v>
      </c>
      <c r="D289" s="9" t="n">
        <f aca="false">Resultados!$E$37*$B289-Resultados!$F$37*$B289-Premissas!$B$24-Resultados!$E$37*$B289*(Premissas!$B$14/100)</f>
        <v>19027</v>
      </c>
      <c r="E289" s="9" t="n">
        <f aca="false">D289-$C289</f>
        <v>19027</v>
      </c>
      <c r="F289" s="9" t="n">
        <f aca="false">F288+E289</f>
        <v>5033091.9</v>
      </c>
      <c r="G289" s="37" t="str">
        <f aca="false">IF(AND(F288&lt;0,F289&gt;=0,A289&lt;=MAX(120,Premissas!$B$15*12)),(A289-1)+(-F288)/E289,"")</f>
        <v/>
      </c>
      <c r="H289" s="9" t="n">
        <f aca="false">Resultados!$E$38*$B289-Resultados!$F$38*$B289-Premissas!$B$24-Resultados!$E$38*$B289*(Premissas!$B$14/100)</f>
        <v>24432.4</v>
      </c>
      <c r="I289" s="9" t="n">
        <f aca="false">H289-$C289</f>
        <v>24432.4</v>
      </c>
      <c r="J289" s="9" t="n">
        <f aca="false">J288+I289</f>
        <v>6555793.08000003</v>
      </c>
      <c r="K289" s="37" t="str">
        <f aca="false">IF(AND(J288&lt;0,J289&gt;=0,A289&lt;=MAX(120,Premissas!$B$15*12)),(A289-1)+(-J288)/I289,"")</f>
        <v/>
      </c>
      <c r="L289" s="9" t="n">
        <f aca="false">Resultados!$E$39*$B289-Resultados!$F$39*$B289-Premissas!$B$24-Resultados!$E$39*$B289*(Premissas!$B$14/100)</f>
        <v>29837.8</v>
      </c>
      <c r="M289" s="9" t="n">
        <f aca="false">L289-$C289</f>
        <v>29837.8</v>
      </c>
      <c r="N289" s="9" t="n">
        <f aca="false">N288+M289</f>
        <v>8078494.25999997</v>
      </c>
      <c r="O289" s="37" t="str">
        <f aca="false">IF(AND(N288&lt;0,N289&gt;=0,A289&lt;=MAX(120,Premissas!$B$15*12)),(A289-1)+(-N288)/M289,"")</f>
        <v/>
      </c>
      <c r="P289" s="9" t="n">
        <f aca="false">Resultados!$B$19*$B289-Resultados!$B$20*$B289-Premissas!$B$24-Resultados!$B$19*$B289*(Premissas!$B$14/100)</f>
        <v>24432.4</v>
      </c>
      <c r="Q289" s="9" t="n">
        <f aca="false">P289-$C289</f>
        <v>24432.4</v>
      </c>
      <c r="R289" s="9" t="n">
        <f aca="false">R288+Q289</f>
        <v>6555793.08000003</v>
      </c>
      <c r="S289" s="37" t="str">
        <f aca="false">IF(AND(R288&lt;0,R289&gt;=0,A289&lt;=MAX(120,Premissas!$B$15*12)),(A289-1)+(-R288)/Q289,"")</f>
        <v/>
      </c>
    </row>
    <row r="290" customFormat="false" ht="15" hidden="false" customHeight="false" outlineLevel="0" collapsed="false">
      <c r="A290" s="10" t="n">
        <f aca="false">A289+1</f>
        <v>286</v>
      </c>
      <c r="B290" s="36" t="n">
        <f aca="false">IF(Premissas!$B$9&lt;=1,1,MIN(1,Premissas!$B$8/100+(1-Premissas!$B$8/100)*(A290-1)/(Premissas!$B$9-1)))</f>
        <v>1</v>
      </c>
      <c r="C290" s="9" t="n">
        <f aca="false">IF(A290&lt;=Resultados!$B$9,Resultados!$B$10,0)</f>
        <v>0</v>
      </c>
      <c r="D290" s="9" t="n">
        <f aca="false">Resultados!$E$37*$B290-Resultados!$F$37*$B290-Premissas!$B$24-Resultados!$E$37*$B290*(Premissas!$B$14/100)</f>
        <v>19027</v>
      </c>
      <c r="E290" s="9" t="n">
        <f aca="false">D290-$C290</f>
        <v>19027</v>
      </c>
      <c r="F290" s="9" t="n">
        <f aca="false">F289+E290</f>
        <v>5052118.9</v>
      </c>
      <c r="G290" s="37" t="str">
        <f aca="false">IF(AND(F289&lt;0,F290&gt;=0,A290&lt;=MAX(120,Premissas!$B$15*12)),(A290-1)+(-F289)/E290,"")</f>
        <v/>
      </c>
      <c r="H290" s="9" t="n">
        <f aca="false">Resultados!$E$38*$B290-Resultados!$F$38*$B290-Premissas!$B$24-Resultados!$E$38*$B290*(Premissas!$B$14/100)</f>
        <v>24432.4</v>
      </c>
      <c r="I290" s="9" t="n">
        <f aca="false">H290-$C290</f>
        <v>24432.4</v>
      </c>
      <c r="J290" s="9" t="n">
        <f aca="false">J289+I290</f>
        <v>6580225.48000003</v>
      </c>
      <c r="K290" s="37" t="str">
        <f aca="false">IF(AND(J289&lt;0,J290&gt;=0,A290&lt;=MAX(120,Premissas!$B$15*12)),(A290-1)+(-J289)/I290,"")</f>
        <v/>
      </c>
      <c r="L290" s="9" t="n">
        <f aca="false">Resultados!$E$39*$B290-Resultados!$F$39*$B290-Premissas!$B$24-Resultados!$E$39*$B290*(Premissas!$B$14/100)</f>
        <v>29837.8</v>
      </c>
      <c r="M290" s="9" t="n">
        <f aca="false">L290-$C290</f>
        <v>29837.8</v>
      </c>
      <c r="N290" s="9" t="n">
        <f aca="false">N289+M290</f>
        <v>8108332.05999997</v>
      </c>
      <c r="O290" s="37" t="str">
        <f aca="false">IF(AND(N289&lt;0,N290&gt;=0,A290&lt;=MAX(120,Premissas!$B$15*12)),(A290-1)+(-N289)/M290,"")</f>
        <v/>
      </c>
      <c r="P290" s="9" t="n">
        <f aca="false">Resultados!$B$19*$B290-Resultados!$B$20*$B290-Premissas!$B$24-Resultados!$B$19*$B290*(Premissas!$B$14/100)</f>
        <v>24432.4</v>
      </c>
      <c r="Q290" s="9" t="n">
        <f aca="false">P290-$C290</f>
        <v>24432.4</v>
      </c>
      <c r="R290" s="9" t="n">
        <f aca="false">R289+Q290</f>
        <v>6580225.48000003</v>
      </c>
      <c r="S290" s="37" t="str">
        <f aca="false">IF(AND(R289&lt;0,R290&gt;=0,A290&lt;=MAX(120,Premissas!$B$15*12)),(A290-1)+(-R289)/Q290,"")</f>
        <v/>
      </c>
    </row>
    <row r="291" customFormat="false" ht="15" hidden="false" customHeight="false" outlineLevel="0" collapsed="false">
      <c r="A291" s="10" t="n">
        <f aca="false">A290+1</f>
        <v>287</v>
      </c>
      <c r="B291" s="36" t="n">
        <f aca="false">IF(Premissas!$B$9&lt;=1,1,MIN(1,Premissas!$B$8/100+(1-Premissas!$B$8/100)*(A291-1)/(Premissas!$B$9-1)))</f>
        <v>1</v>
      </c>
      <c r="C291" s="9" t="n">
        <f aca="false">IF(A291&lt;=Resultados!$B$9,Resultados!$B$10,0)</f>
        <v>0</v>
      </c>
      <c r="D291" s="9" t="n">
        <f aca="false">Resultados!$E$37*$B291-Resultados!$F$37*$B291-Premissas!$B$24-Resultados!$E$37*$B291*(Premissas!$B$14/100)</f>
        <v>19027</v>
      </c>
      <c r="E291" s="9" t="n">
        <f aca="false">D291-$C291</f>
        <v>19027</v>
      </c>
      <c r="F291" s="9" t="n">
        <f aca="false">F290+E291</f>
        <v>5071145.9</v>
      </c>
      <c r="G291" s="37" t="str">
        <f aca="false">IF(AND(F290&lt;0,F291&gt;=0,A291&lt;=MAX(120,Premissas!$B$15*12)),(A291-1)+(-F290)/E291,"")</f>
        <v/>
      </c>
      <c r="H291" s="9" t="n">
        <f aca="false">Resultados!$E$38*$B291-Resultados!$F$38*$B291-Premissas!$B$24-Resultados!$E$38*$B291*(Premissas!$B$14/100)</f>
        <v>24432.4</v>
      </c>
      <c r="I291" s="9" t="n">
        <f aca="false">H291-$C291</f>
        <v>24432.4</v>
      </c>
      <c r="J291" s="9" t="n">
        <f aca="false">J290+I291</f>
        <v>6604657.88000003</v>
      </c>
      <c r="K291" s="37" t="str">
        <f aca="false">IF(AND(J290&lt;0,J291&gt;=0,A291&lt;=MAX(120,Premissas!$B$15*12)),(A291-1)+(-J290)/I291,"")</f>
        <v/>
      </c>
      <c r="L291" s="9" t="n">
        <f aca="false">Resultados!$E$39*$B291-Resultados!$F$39*$B291-Premissas!$B$24-Resultados!$E$39*$B291*(Premissas!$B$14/100)</f>
        <v>29837.8</v>
      </c>
      <c r="M291" s="9" t="n">
        <f aca="false">L291-$C291</f>
        <v>29837.8</v>
      </c>
      <c r="N291" s="9" t="n">
        <f aca="false">N290+M291</f>
        <v>8138169.85999997</v>
      </c>
      <c r="O291" s="37" t="str">
        <f aca="false">IF(AND(N290&lt;0,N291&gt;=0,A291&lt;=MAX(120,Premissas!$B$15*12)),(A291-1)+(-N290)/M291,"")</f>
        <v/>
      </c>
      <c r="P291" s="9" t="n">
        <f aca="false">Resultados!$B$19*$B291-Resultados!$B$20*$B291-Premissas!$B$24-Resultados!$B$19*$B291*(Premissas!$B$14/100)</f>
        <v>24432.4</v>
      </c>
      <c r="Q291" s="9" t="n">
        <f aca="false">P291-$C291</f>
        <v>24432.4</v>
      </c>
      <c r="R291" s="9" t="n">
        <f aca="false">R290+Q291</f>
        <v>6604657.88000003</v>
      </c>
      <c r="S291" s="37" t="str">
        <f aca="false">IF(AND(R290&lt;0,R291&gt;=0,A291&lt;=MAX(120,Premissas!$B$15*12)),(A291-1)+(-R290)/Q291,"")</f>
        <v/>
      </c>
    </row>
    <row r="292" customFormat="false" ht="15" hidden="false" customHeight="false" outlineLevel="0" collapsed="false">
      <c r="A292" s="10" t="n">
        <f aca="false">A291+1</f>
        <v>288</v>
      </c>
      <c r="B292" s="36" t="n">
        <f aca="false">IF(Premissas!$B$9&lt;=1,1,MIN(1,Premissas!$B$8/100+(1-Premissas!$B$8/100)*(A292-1)/(Premissas!$B$9-1)))</f>
        <v>1</v>
      </c>
      <c r="C292" s="9" t="n">
        <f aca="false">IF(A292&lt;=Resultados!$B$9,Resultados!$B$10,0)</f>
        <v>0</v>
      </c>
      <c r="D292" s="9" t="n">
        <f aca="false">Resultados!$E$37*$B292-Resultados!$F$37*$B292-Premissas!$B$24-Resultados!$E$37*$B292*(Premissas!$B$14/100)</f>
        <v>19027</v>
      </c>
      <c r="E292" s="9" t="n">
        <f aca="false">D292-$C292</f>
        <v>19027</v>
      </c>
      <c r="F292" s="9" t="n">
        <f aca="false">F291+E292</f>
        <v>5090172.9</v>
      </c>
      <c r="G292" s="37" t="str">
        <f aca="false">IF(AND(F291&lt;0,F292&gt;=0,A292&lt;=MAX(120,Premissas!$B$15*12)),(A292-1)+(-F291)/E292,"")</f>
        <v/>
      </c>
      <c r="H292" s="9" t="n">
        <f aca="false">Resultados!$E$38*$B292-Resultados!$F$38*$B292-Premissas!$B$24-Resultados!$E$38*$B292*(Premissas!$B$14/100)</f>
        <v>24432.4</v>
      </c>
      <c r="I292" s="9" t="n">
        <f aca="false">H292-$C292</f>
        <v>24432.4</v>
      </c>
      <c r="J292" s="9" t="n">
        <f aca="false">J291+I292</f>
        <v>6629090.28000003</v>
      </c>
      <c r="K292" s="37" t="str">
        <f aca="false">IF(AND(J291&lt;0,J292&gt;=0,A292&lt;=MAX(120,Premissas!$B$15*12)),(A292-1)+(-J291)/I292,"")</f>
        <v/>
      </c>
      <c r="L292" s="9" t="n">
        <f aca="false">Resultados!$E$39*$B292-Resultados!$F$39*$B292-Premissas!$B$24-Resultados!$E$39*$B292*(Premissas!$B$14/100)</f>
        <v>29837.8</v>
      </c>
      <c r="M292" s="9" t="n">
        <f aca="false">L292-$C292</f>
        <v>29837.8</v>
      </c>
      <c r="N292" s="9" t="n">
        <f aca="false">N291+M292</f>
        <v>8168007.65999997</v>
      </c>
      <c r="O292" s="37" t="str">
        <f aca="false">IF(AND(N291&lt;0,N292&gt;=0,A292&lt;=MAX(120,Premissas!$B$15*12)),(A292-1)+(-N291)/M292,"")</f>
        <v/>
      </c>
      <c r="P292" s="9" t="n">
        <f aca="false">Resultados!$B$19*$B292-Resultados!$B$20*$B292-Premissas!$B$24-Resultados!$B$19*$B292*(Premissas!$B$14/100)</f>
        <v>24432.4</v>
      </c>
      <c r="Q292" s="9" t="n">
        <f aca="false">P292-$C292</f>
        <v>24432.4</v>
      </c>
      <c r="R292" s="9" t="n">
        <f aca="false">R291+Q292</f>
        <v>6629090.28000003</v>
      </c>
      <c r="S292" s="37" t="str">
        <f aca="false">IF(AND(R291&lt;0,R292&gt;=0,A292&lt;=MAX(120,Premissas!$B$15*12)),(A292-1)+(-R291)/Q292,"")</f>
        <v/>
      </c>
    </row>
    <row r="293" customFormat="false" ht="15" hidden="false" customHeight="false" outlineLevel="0" collapsed="false">
      <c r="A293" s="10" t="n">
        <f aca="false">A292+1</f>
        <v>289</v>
      </c>
      <c r="B293" s="36" t="n">
        <f aca="false">IF(Premissas!$B$9&lt;=1,1,MIN(1,Premissas!$B$8/100+(1-Premissas!$B$8/100)*(A293-1)/(Premissas!$B$9-1)))</f>
        <v>1</v>
      </c>
      <c r="C293" s="9" t="n">
        <f aca="false">IF(A293&lt;=Resultados!$B$9,Resultados!$B$10,0)</f>
        <v>0</v>
      </c>
      <c r="D293" s="9" t="n">
        <f aca="false">Resultados!$E$37*$B293-Resultados!$F$37*$B293-Premissas!$B$24-Resultados!$E$37*$B293*(Premissas!$B$14/100)</f>
        <v>19027</v>
      </c>
      <c r="E293" s="9" t="n">
        <f aca="false">D293-$C293</f>
        <v>19027</v>
      </c>
      <c r="F293" s="9" t="n">
        <f aca="false">F292+E293</f>
        <v>5109199.9</v>
      </c>
      <c r="G293" s="37" t="str">
        <f aca="false">IF(AND(F292&lt;0,F293&gt;=0,A293&lt;=MAX(120,Premissas!$B$15*12)),(A293-1)+(-F292)/E293,"")</f>
        <v/>
      </c>
      <c r="H293" s="9" t="n">
        <f aca="false">Resultados!$E$38*$B293-Resultados!$F$38*$B293-Premissas!$B$24-Resultados!$E$38*$B293*(Premissas!$B$14/100)</f>
        <v>24432.4</v>
      </c>
      <c r="I293" s="9" t="n">
        <f aca="false">H293-$C293</f>
        <v>24432.4</v>
      </c>
      <c r="J293" s="9" t="n">
        <f aca="false">J292+I293</f>
        <v>6653522.68000003</v>
      </c>
      <c r="K293" s="37" t="str">
        <f aca="false">IF(AND(J292&lt;0,J293&gt;=0,A293&lt;=MAX(120,Premissas!$B$15*12)),(A293-1)+(-J292)/I293,"")</f>
        <v/>
      </c>
      <c r="L293" s="9" t="n">
        <f aca="false">Resultados!$E$39*$B293-Resultados!$F$39*$B293-Premissas!$B$24-Resultados!$E$39*$B293*(Premissas!$B$14/100)</f>
        <v>29837.8</v>
      </c>
      <c r="M293" s="9" t="n">
        <f aca="false">L293-$C293</f>
        <v>29837.8</v>
      </c>
      <c r="N293" s="9" t="n">
        <f aca="false">N292+M293</f>
        <v>8197845.45999997</v>
      </c>
      <c r="O293" s="37" t="str">
        <f aca="false">IF(AND(N292&lt;0,N293&gt;=0,A293&lt;=MAX(120,Premissas!$B$15*12)),(A293-1)+(-N292)/M293,"")</f>
        <v/>
      </c>
      <c r="P293" s="9" t="n">
        <f aca="false">Resultados!$B$19*$B293-Resultados!$B$20*$B293-Premissas!$B$24-Resultados!$B$19*$B293*(Premissas!$B$14/100)</f>
        <v>24432.4</v>
      </c>
      <c r="Q293" s="9" t="n">
        <f aca="false">P293-$C293</f>
        <v>24432.4</v>
      </c>
      <c r="R293" s="9" t="n">
        <f aca="false">R292+Q293</f>
        <v>6653522.68000003</v>
      </c>
      <c r="S293" s="37" t="str">
        <f aca="false">IF(AND(R292&lt;0,R293&gt;=0,A293&lt;=MAX(120,Premissas!$B$15*12)),(A293-1)+(-R292)/Q293,"")</f>
        <v/>
      </c>
    </row>
    <row r="294" customFormat="false" ht="15" hidden="false" customHeight="false" outlineLevel="0" collapsed="false">
      <c r="A294" s="10" t="n">
        <f aca="false">A293+1</f>
        <v>290</v>
      </c>
      <c r="B294" s="36" t="n">
        <f aca="false">IF(Premissas!$B$9&lt;=1,1,MIN(1,Premissas!$B$8/100+(1-Premissas!$B$8/100)*(A294-1)/(Premissas!$B$9-1)))</f>
        <v>1</v>
      </c>
      <c r="C294" s="9" t="n">
        <f aca="false">IF(A294&lt;=Resultados!$B$9,Resultados!$B$10,0)</f>
        <v>0</v>
      </c>
      <c r="D294" s="9" t="n">
        <f aca="false">Resultados!$E$37*$B294-Resultados!$F$37*$B294-Premissas!$B$24-Resultados!$E$37*$B294*(Premissas!$B$14/100)</f>
        <v>19027</v>
      </c>
      <c r="E294" s="9" t="n">
        <f aca="false">D294-$C294</f>
        <v>19027</v>
      </c>
      <c r="F294" s="9" t="n">
        <f aca="false">F293+E294</f>
        <v>5128226.9</v>
      </c>
      <c r="G294" s="37" t="str">
        <f aca="false">IF(AND(F293&lt;0,F294&gt;=0,A294&lt;=MAX(120,Premissas!$B$15*12)),(A294-1)+(-F293)/E294,"")</f>
        <v/>
      </c>
      <c r="H294" s="9" t="n">
        <f aca="false">Resultados!$E$38*$B294-Resultados!$F$38*$B294-Premissas!$B$24-Resultados!$E$38*$B294*(Premissas!$B$14/100)</f>
        <v>24432.4</v>
      </c>
      <c r="I294" s="9" t="n">
        <f aca="false">H294-$C294</f>
        <v>24432.4</v>
      </c>
      <c r="J294" s="9" t="n">
        <f aca="false">J293+I294</f>
        <v>6677955.08000003</v>
      </c>
      <c r="K294" s="37" t="str">
        <f aca="false">IF(AND(J293&lt;0,J294&gt;=0,A294&lt;=MAX(120,Premissas!$B$15*12)),(A294-1)+(-J293)/I294,"")</f>
        <v/>
      </c>
      <c r="L294" s="9" t="n">
        <f aca="false">Resultados!$E$39*$B294-Resultados!$F$39*$B294-Premissas!$B$24-Resultados!$E$39*$B294*(Premissas!$B$14/100)</f>
        <v>29837.8</v>
      </c>
      <c r="M294" s="9" t="n">
        <f aca="false">L294-$C294</f>
        <v>29837.8</v>
      </c>
      <c r="N294" s="9" t="n">
        <f aca="false">N293+M294</f>
        <v>8227683.25999996</v>
      </c>
      <c r="O294" s="37" t="str">
        <f aca="false">IF(AND(N293&lt;0,N294&gt;=0,A294&lt;=MAX(120,Premissas!$B$15*12)),(A294-1)+(-N293)/M294,"")</f>
        <v/>
      </c>
      <c r="P294" s="9" t="n">
        <f aca="false">Resultados!$B$19*$B294-Resultados!$B$20*$B294-Premissas!$B$24-Resultados!$B$19*$B294*(Premissas!$B$14/100)</f>
        <v>24432.4</v>
      </c>
      <c r="Q294" s="9" t="n">
        <f aca="false">P294-$C294</f>
        <v>24432.4</v>
      </c>
      <c r="R294" s="9" t="n">
        <f aca="false">R293+Q294</f>
        <v>6677955.08000003</v>
      </c>
      <c r="S294" s="37" t="str">
        <f aca="false">IF(AND(R293&lt;0,R294&gt;=0,A294&lt;=MAX(120,Premissas!$B$15*12)),(A294-1)+(-R293)/Q294,"")</f>
        <v/>
      </c>
    </row>
    <row r="295" customFormat="false" ht="15" hidden="false" customHeight="false" outlineLevel="0" collapsed="false">
      <c r="A295" s="10" t="n">
        <f aca="false">A294+1</f>
        <v>291</v>
      </c>
      <c r="B295" s="36" t="n">
        <f aca="false">IF(Premissas!$B$9&lt;=1,1,MIN(1,Premissas!$B$8/100+(1-Premissas!$B$8/100)*(A295-1)/(Premissas!$B$9-1)))</f>
        <v>1</v>
      </c>
      <c r="C295" s="9" t="n">
        <f aca="false">IF(A295&lt;=Resultados!$B$9,Resultados!$B$10,0)</f>
        <v>0</v>
      </c>
      <c r="D295" s="9" t="n">
        <f aca="false">Resultados!$E$37*$B295-Resultados!$F$37*$B295-Premissas!$B$24-Resultados!$E$37*$B295*(Premissas!$B$14/100)</f>
        <v>19027</v>
      </c>
      <c r="E295" s="9" t="n">
        <f aca="false">D295-$C295</f>
        <v>19027</v>
      </c>
      <c r="F295" s="9" t="n">
        <f aca="false">F294+E295</f>
        <v>5147253.9</v>
      </c>
      <c r="G295" s="37" t="str">
        <f aca="false">IF(AND(F294&lt;0,F295&gt;=0,A295&lt;=MAX(120,Premissas!$B$15*12)),(A295-1)+(-F294)/E295,"")</f>
        <v/>
      </c>
      <c r="H295" s="9" t="n">
        <f aca="false">Resultados!$E$38*$B295-Resultados!$F$38*$B295-Premissas!$B$24-Resultados!$E$38*$B295*(Premissas!$B$14/100)</f>
        <v>24432.4</v>
      </c>
      <c r="I295" s="9" t="n">
        <f aca="false">H295-$C295</f>
        <v>24432.4</v>
      </c>
      <c r="J295" s="9" t="n">
        <f aca="false">J294+I295</f>
        <v>6702387.48000003</v>
      </c>
      <c r="K295" s="37" t="str">
        <f aca="false">IF(AND(J294&lt;0,J295&gt;=0,A295&lt;=MAX(120,Premissas!$B$15*12)),(A295-1)+(-J294)/I295,"")</f>
        <v/>
      </c>
      <c r="L295" s="9" t="n">
        <f aca="false">Resultados!$E$39*$B295-Resultados!$F$39*$B295-Premissas!$B$24-Resultados!$E$39*$B295*(Premissas!$B$14/100)</f>
        <v>29837.8</v>
      </c>
      <c r="M295" s="9" t="n">
        <f aca="false">L295-$C295</f>
        <v>29837.8</v>
      </c>
      <c r="N295" s="9" t="n">
        <f aca="false">N294+M295</f>
        <v>8257521.05999996</v>
      </c>
      <c r="O295" s="37" t="str">
        <f aca="false">IF(AND(N294&lt;0,N295&gt;=0,A295&lt;=MAX(120,Premissas!$B$15*12)),(A295-1)+(-N294)/M295,"")</f>
        <v/>
      </c>
      <c r="P295" s="9" t="n">
        <f aca="false">Resultados!$B$19*$B295-Resultados!$B$20*$B295-Premissas!$B$24-Resultados!$B$19*$B295*(Premissas!$B$14/100)</f>
        <v>24432.4</v>
      </c>
      <c r="Q295" s="9" t="n">
        <f aca="false">P295-$C295</f>
        <v>24432.4</v>
      </c>
      <c r="R295" s="9" t="n">
        <f aca="false">R294+Q295</f>
        <v>6702387.48000003</v>
      </c>
      <c r="S295" s="37" t="str">
        <f aca="false">IF(AND(R294&lt;0,R295&gt;=0,A295&lt;=MAX(120,Premissas!$B$15*12)),(A295-1)+(-R294)/Q295,"")</f>
        <v/>
      </c>
    </row>
    <row r="296" customFormat="false" ht="15" hidden="false" customHeight="false" outlineLevel="0" collapsed="false">
      <c r="A296" s="10" t="n">
        <f aca="false">A295+1</f>
        <v>292</v>
      </c>
      <c r="B296" s="36" t="n">
        <f aca="false">IF(Premissas!$B$9&lt;=1,1,MIN(1,Premissas!$B$8/100+(1-Premissas!$B$8/100)*(A296-1)/(Premissas!$B$9-1)))</f>
        <v>1</v>
      </c>
      <c r="C296" s="9" t="n">
        <f aca="false">IF(A296&lt;=Resultados!$B$9,Resultados!$B$10,0)</f>
        <v>0</v>
      </c>
      <c r="D296" s="9" t="n">
        <f aca="false">Resultados!$E$37*$B296-Resultados!$F$37*$B296-Premissas!$B$24-Resultados!$E$37*$B296*(Premissas!$B$14/100)</f>
        <v>19027</v>
      </c>
      <c r="E296" s="9" t="n">
        <f aca="false">D296-$C296</f>
        <v>19027</v>
      </c>
      <c r="F296" s="9" t="n">
        <f aca="false">F295+E296</f>
        <v>5166280.9</v>
      </c>
      <c r="G296" s="37" t="str">
        <f aca="false">IF(AND(F295&lt;0,F296&gt;=0,A296&lt;=MAX(120,Premissas!$B$15*12)),(A296-1)+(-F295)/E296,"")</f>
        <v/>
      </c>
      <c r="H296" s="9" t="n">
        <f aca="false">Resultados!$E$38*$B296-Resultados!$F$38*$B296-Premissas!$B$24-Resultados!$E$38*$B296*(Premissas!$B$14/100)</f>
        <v>24432.4</v>
      </c>
      <c r="I296" s="9" t="n">
        <f aca="false">H296-$C296</f>
        <v>24432.4</v>
      </c>
      <c r="J296" s="9" t="n">
        <f aca="false">J295+I296</f>
        <v>6726819.88000003</v>
      </c>
      <c r="K296" s="37" t="str">
        <f aca="false">IF(AND(J295&lt;0,J296&gt;=0,A296&lt;=MAX(120,Premissas!$B$15*12)),(A296-1)+(-J295)/I296,"")</f>
        <v/>
      </c>
      <c r="L296" s="9" t="n">
        <f aca="false">Resultados!$E$39*$B296-Resultados!$F$39*$B296-Premissas!$B$24-Resultados!$E$39*$B296*(Premissas!$B$14/100)</f>
        <v>29837.8</v>
      </c>
      <c r="M296" s="9" t="n">
        <f aca="false">L296-$C296</f>
        <v>29837.8</v>
      </c>
      <c r="N296" s="9" t="n">
        <f aca="false">N295+M296</f>
        <v>8287358.85999996</v>
      </c>
      <c r="O296" s="37" t="str">
        <f aca="false">IF(AND(N295&lt;0,N296&gt;=0,A296&lt;=MAX(120,Premissas!$B$15*12)),(A296-1)+(-N295)/M296,"")</f>
        <v/>
      </c>
      <c r="P296" s="9" t="n">
        <f aca="false">Resultados!$B$19*$B296-Resultados!$B$20*$B296-Premissas!$B$24-Resultados!$B$19*$B296*(Premissas!$B$14/100)</f>
        <v>24432.4</v>
      </c>
      <c r="Q296" s="9" t="n">
        <f aca="false">P296-$C296</f>
        <v>24432.4</v>
      </c>
      <c r="R296" s="9" t="n">
        <f aca="false">R295+Q296</f>
        <v>6726819.88000003</v>
      </c>
      <c r="S296" s="37" t="str">
        <f aca="false">IF(AND(R295&lt;0,R296&gt;=0,A296&lt;=MAX(120,Premissas!$B$15*12)),(A296-1)+(-R295)/Q296,"")</f>
        <v/>
      </c>
    </row>
    <row r="297" customFormat="false" ht="15" hidden="false" customHeight="false" outlineLevel="0" collapsed="false">
      <c r="A297" s="10" t="n">
        <f aca="false">A296+1</f>
        <v>293</v>
      </c>
      <c r="B297" s="36" t="n">
        <f aca="false">IF(Premissas!$B$9&lt;=1,1,MIN(1,Premissas!$B$8/100+(1-Premissas!$B$8/100)*(A297-1)/(Premissas!$B$9-1)))</f>
        <v>1</v>
      </c>
      <c r="C297" s="9" t="n">
        <f aca="false">IF(A297&lt;=Resultados!$B$9,Resultados!$B$10,0)</f>
        <v>0</v>
      </c>
      <c r="D297" s="9" t="n">
        <f aca="false">Resultados!$E$37*$B297-Resultados!$F$37*$B297-Premissas!$B$24-Resultados!$E$37*$B297*(Premissas!$B$14/100)</f>
        <v>19027</v>
      </c>
      <c r="E297" s="9" t="n">
        <f aca="false">D297-$C297</f>
        <v>19027</v>
      </c>
      <c r="F297" s="9" t="n">
        <f aca="false">F296+E297</f>
        <v>5185307.9</v>
      </c>
      <c r="G297" s="37" t="str">
        <f aca="false">IF(AND(F296&lt;0,F297&gt;=0,A297&lt;=MAX(120,Premissas!$B$15*12)),(A297-1)+(-F296)/E297,"")</f>
        <v/>
      </c>
      <c r="H297" s="9" t="n">
        <f aca="false">Resultados!$E$38*$B297-Resultados!$F$38*$B297-Premissas!$B$24-Resultados!$E$38*$B297*(Premissas!$B$14/100)</f>
        <v>24432.4</v>
      </c>
      <c r="I297" s="9" t="n">
        <f aca="false">H297-$C297</f>
        <v>24432.4</v>
      </c>
      <c r="J297" s="9" t="n">
        <f aca="false">J296+I297</f>
        <v>6751252.28000003</v>
      </c>
      <c r="K297" s="37" t="str">
        <f aca="false">IF(AND(J296&lt;0,J297&gt;=0,A297&lt;=MAX(120,Premissas!$B$15*12)),(A297-1)+(-J296)/I297,"")</f>
        <v/>
      </c>
      <c r="L297" s="9" t="n">
        <f aca="false">Resultados!$E$39*$B297-Resultados!$F$39*$B297-Premissas!$B$24-Resultados!$E$39*$B297*(Premissas!$B$14/100)</f>
        <v>29837.8</v>
      </c>
      <c r="M297" s="9" t="n">
        <f aca="false">L297-$C297</f>
        <v>29837.8</v>
      </c>
      <c r="N297" s="9" t="n">
        <f aca="false">N296+M297</f>
        <v>8317196.65999996</v>
      </c>
      <c r="O297" s="37" t="str">
        <f aca="false">IF(AND(N296&lt;0,N297&gt;=0,A297&lt;=MAX(120,Premissas!$B$15*12)),(A297-1)+(-N296)/M297,"")</f>
        <v/>
      </c>
      <c r="P297" s="9" t="n">
        <f aca="false">Resultados!$B$19*$B297-Resultados!$B$20*$B297-Premissas!$B$24-Resultados!$B$19*$B297*(Premissas!$B$14/100)</f>
        <v>24432.4</v>
      </c>
      <c r="Q297" s="9" t="n">
        <f aca="false">P297-$C297</f>
        <v>24432.4</v>
      </c>
      <c r="R297" s="9" t="n">
        <f aca="false">R296+Q297</f>
        <v>6751252.28000003</v>
      </c>
      <c r="S297" s="37" t="str">
        <f aca="false">IF(AND(R296&lt;0,R297&gt;=0,A297&lt;=MAX(120,Premissas!$B$15*12)),(A297-1)+(-R296)/Q297,"")</f>
        <v/>
      </c>
    </row>
    <row r="298" customFormat="false" ht="15" hidden="false" customHeight="false" outlineLevel="0" collapsed="false">
      <c r="A298" s="10" t="n">
        <f aca="false">A297+1</f>
        <v>294</v>
      </c>
      <c r="B298" s="36" t="n">
        <f aca="false">IF(Premissas!$B$9&lt;=1,1,MIN(1,Premissas!$B$8/100+(1-Premissas!$B$8/100)*(A298-1)/(Premissas!$B$9-1)))</f>
        <v>1</v>
      </c>
      <c r="C298" s="9" t="n">
        <f aca="false">IF(A298&lt;=Resultados!$B$9,Resultados!$B$10,0)</f>
        <v>0</v>
      </c>
      <c r="D298" s="9" t="n">
        <f aca="false">Resultados!$E$37*$B298-Resultados!$F$37*$B298-Premissas!$B$24-Resultados!$E$37*$B298*(Premissas!$B$14/100)</f>
        <v>19027</v>
      </c>
      <c r="E298" s="9" t="n">
        <f aca="false">D298-$C298</f>
        <v>19027</v>
      </c>
      <c r="F298" s="9" t="n">
        <f aca="false">F297+E298</f>
        <v>5204334.9</v>
      </c>
      <c r="G298" s="37" t="str">
        <f aca="false">IF(AND(F297&lt;0,F298&gt;=0,A298&lt;=MAX(120,Premissas!$B$15*12)),(A298-1)+(-F297)/E298,"")</f>
        <v/>
      </c>
      <c r="H298" s="9" t="n">
        <f aca="false">Resultados!$E$38*$B298-Resultados!$F$38*$B298-Premissas!$B$24-Resultados!$E$38*$B298*(Premissas!$B$14/100)</f>
        <v>24432.4</v>
      </c>
      <c r="I298" s="9" t="n">
        <f aca="false">H298-$C298</f>
        <v>24432.4</v>
      </c>
      <c r="J298" s="9" t="n">
        <f aca="false">J297+I298</f>
        <v>6775684.68000003</v>
      </c>
      <c r="K298" s="37" t="str">
        <f aca="false">IF(AND(J297&lt;0,J298&gt;=0,A298&lt;=MAX(120,Premissas!$B$15*12)),(A298-1)+(-J297)/I298,"")</f>
        <v/>
      </c>
      <c r="L298" s="9" t="n">
        <f aca="false">Resultados!$E$39*$B298-Resultados!$F$39*$B298-Premissas!$B$24-Resultados!$E$39*$B298*(Premissas!$B$14/100)</f>
        <v>29837.8</v>
      </c>
      <c r="M298" s="9" t="n">
        <f aca="false">L298-$C298</f>
        <v>29837.8</v>
      </c>
      <c r="N298" s="9" t="n">
        <f aca="false">N297+M298</f>
        <v>8347034.45999996</v>
      </c>
      <c r="O298" s="37" t="str">
        <f aca="false">IF(AND(N297&lt;0,N298&gt;=0,A298&lt;=MAX(120,Premissas!$B$15*12)),(A298-1)+(-N297)/M298,"")</f>
        <v/>
      </c>
      <c r="P298" s="9" t="n">
        <f aca="false">Resultados!$B$19*$B298-Resultados!$B$20*$B298-Premissas!$B$24-Resultados!$B$19*$B298*(Premissas!$B$14/100)</f>
        <v>24432.4</v>
      </c>
      <c r="Q298" s="9" t="n">
        <f aca="false">P298-$C298</f>
        <v>24432.4</v>
      </c>
      <c r="R298" s="9" t="n">
        <f aca="false">R297+Q298</f>
        <v>6775684.68000003</v>
      </c>
      <c r="S298" s="37" t="str">
        <f aca="false">IF(AND(R297&lt;0,R298&gt;=0,A298&lt;=MAX(120,Premissas!$B$15*12)),(A298-1)+(-R297)/Q298,"")</f>
        <v/>
      </c>
    </row>
    <row r="299" customFormat="false" ht="15" hidden="false" customHeight="false" outlineLevel="0" collapsed="false">
      <c r="A299" s="10" t="n">
        <f aca="false">A298+1</f>
        <v>295</v>
      </c>
      <c r="B299" s="36" t="n">
        <f aca="false">IF(Premissas!$B$9&lt;=1,1,MIN(1,Premissas!$B$8/100+(1-Premissas!$B$8/100)*(A299-1)/(Premissas!$B$9-1)))</f>
        <v>1</v>
      </c>
      <c r="C299" s="9" t="n">
        <f aca="false">IF(A299&lt;=Resultados!$B$9,Resultados!$B$10,0)</f>
        <v>0</v>
      </c>
      <c r="D299" s="9" t="n">
        <f aca="false">Resultados!$E$37*$B299-Resultados!$F$37*$B299-Premissas!$B$24-Resultados!$E$37*$B299*(Premissas!$B$14/100)</f>
        <v>19027</v>
      </c>
      <c r="E299" s="9" t="n">
        <f aca="false">D299-$C299</f>
        <v>19027</v>
      </c>
      <c r="F299" s="9" t="n">
        <f aca="false">F298+E299</f>
        <v>5223361.9</v>
      </c>
      <c r="G299" s="37" t="str">
        <f aca="false">IF(AND(F298&lt;0,F299&gt;=0,A299&lt;=MAX(120,Premissas!$B$15*12)),(A299-1)+(-F298)/E299,"")</f>
        <v/>
      </c>
      <c r="H299" s="9" t="n">
        <f aca="false">Resultados!$E$38*$B299-Resultados!$F$38*$B299-Premissas!$B$24-Resultados!$E$38*$B299*(Premissas!$B$14/100)</f>
        <v>24432.4</v>
      </c>
      <c r="I299" s="9" t="n">
        <f aca="false">H299-$C299</f>
        <v>24432.4</v>
      </c>
      <c r="J299" s="9" t="n">
        <f aca="false">J298+I299</f>
        <v>6800117.08000003</v>
      </c>
      <c r="K299" s="37" t="str">
        <f aca="false">IF(AND(J298&lt;0,J299&gt;=0,A299&lt;=MAX(120,Premissas!$B$15*12)),(A299-1)+(-J298)/I299,"")</f>
        <v/>
      </c>
      <c r="L299" s="9" t="n">
        <f aca="false">Resultados!$E$39*$B299-Resultados!$F$39*$B299-Premissas!$B$24-Resultados!$E$39*$B299*(Premissas!$B$14/100)</f>
        <v>29837.8</v>
      </c>
      <c r="M299" s="9" t="n">
        <f aca="false">L299-$C299</f>
        <v>29837.8</v>
      </c>
      <c r="N299" s="9" t="n">
        <f aca="false">N298+M299</f>
        <v>8376872.25999996</v>
      </c>
      <c r="O299" s="37" t="str">
        <f aca="false">IF(AND(N298&lt;0,N299&gt;=0,A299&lt;=MAX(120,Premissas!$B$15*12)),(A299-1)+(-N298)/M299,"")</f>
        <v/>
      </c>
      <c r="P299" s="9" t="n">
        <f aca="false">Resultados!$B$19*$B299-Resultados!$B$20*$B299-Premissas!$B$24-Resultados!$B$19*$B299*(Premissas!$B$14/100)</f>
        <v>24432.4</v>
      </c>
      <c r="Q299" s="9" t="n">
        <f aca="false">P299-$C299</f>
        <v>24432.4</v>
      </c>
      <c r="R299" s="9" t="n">
        <f aca="false">R298+Q299</f>
        <v>6800117.08000003</v>
      </c>
      <c r="S299" s="37" t="str">
        <f aca="false">IF(AND(R298&lt;0,R299&gt;=0,A299&lt;=MAX(120,Premissas!$B$15*12)),(A299-1)+(-R298)/Q299,"")</f>
        <v/>
      </c>
    </row>
    <row r="300" customFormat="false" ht="15" hidden="false" customHeight="false" outlineLevel="0" collapsed="false">
      <c r="A300" s="10" t="n">
        <f aca="false">A299+1</f>
        <v>296</v>
      </c>
      <c r="B300" s="36" t="n">
        <f aca="false">IF(Premissas!$B$9&lt;=1,1,MIN(1,Premissas!$B$8/100+(1-Premissas!$B$8/100)*(A300-1)/(Premissas!$B$9-1)))</f>
        <v>1</v>
      </c>
      <c r="C300" s="9" t="n">
        <f aca="false">IF(A300&lt;=Resultados!$B$9,Resultados!$B$10,0)</f>
        <v>0</v>
      </c>
      <c r="D300" s="9" t="n">
        <f aca="false">Resultados!$E$37*$B300-Resultados!$F$37*$B300-Premissas!$B$24-Resultados!$E$37*$B300*(Premissas!$B$14/100)</f>
        <v>19027</v>
      </c>
      <c r="E300" s="9" t="n">
        <f aca="false">D300-$C300</f>
        <v>19027</v>
      </c>
      <c r="F300" s="9" t="n">
        <f aca="false">F299+E300</f>
        <v>5242388.9</v>
      </c>
      <c r="G300" s="37" t="str">
        <f aca="false">IF(AND(F299&lt;0,F300&gt;=0,A300&lt;=MAX(120,Premissas!$B$15*12)),(A300-1)+(-F299)/E300,"")</f>
        <v/>
      </c>
      <c r="H300" s="9" t="n">
        <f aca="false">Resultados!$E$38*$B300-Resultados!$F$38*$B300-Premissas!$B$24-Resultados!$E$38*$B300*(Premissas!$B$14/100)</f>
        <v>24432.4</v>
      </c>
      <c r="I300" s="9" t="n">
        <f aca="false">H300-$C300</f>
        <v>24432.4</v>
      </c>
      <c r="J300" s="9" t="n">
        <f aca="false">J299+I300</f>
        <v>6824549.48000003</v>
      </c>
      <c r="K300" s="37" t="str">
        <f aca="false">IF(AND(J299&lt;0,J300&gt;=0,A300&lt;=MAX(120,Premissas!$B$15*12)),(A300-1)+(-J299)/I300,"")</f>
        <v/>
      </c>
      <c r="L300" s="9" t="n">
        <f aca="false">Resultados!$E$39*$B300-Resultados!$F$39*$B300-Premissas!$B$24-Resultados!$E$39*$B300*(Premissas!$B$14/100)</f>
        <v>29837.8</v>
      </c>
      <c r="M300" s="9" t="n">
        <f aca="false">L300-$C300</f>
        <v>29837.8</v>
      </c>
      <c r="N300" s="9" t="n">
        <f aca="false">N299+M300</f>
        <v>8406710.05999996</v>
      </c>
      <c r="O300" s="37" t="str">
        <f aca="false">IF(AND(N299&lt;0,N300&gt;=0,A300&lt;=MAX(120,Premissas!$B$15*12)),(A300-1)+(-N299)/M300,"")</f>
        <v/>
      </c>
      <c r="P300" s="9" t="n">
        <f aca="false">Resultados!$B$19*$B300-Resultados!$B$20*$B300-Premissas!$B$24-Resultados!$B$19*$B300*(Premissas!$B$14/100)</f>
        <v>24432.4</v>
      </c>
      <c r="Q300" s="9" t="n">
        <f aca="false">P300-$C300</f>
        <v>24432.4</v>
      </c>
      <c r="R300" s="9" t="n">
        <f aca="false">R299+Q300</f>
        <v>6824549.48000003</v>
      </c>
      <c r="S300" s="37" t="str">
        <f aca="false">IF(AND(R299&lt;0,R300&gt;=0,A300&lt;=MAX(120,Premissas!$B$15*12)),(A300-1)+(-R299)/Q300,"")</f>
        <v/>
      </c>
    </row>
    <row r="301" customFormat="false" ht="15" hidden="false" customHeight="false" outlineLevel="0" collapsed="false">
      <c r="A301" s="10" t="n">
        <f aca="false">A300+1</f>
        <v>297</v>
      </c>
      <c r="B301" s="36" t="n">
        <f aca="false">IF(Premissas!$B$9&lt;=1,1,MIN(1,Premissas!$B$8/100+(1-Premissas!$B$8/100)*(A301-1)/(Premissas!$B$9-1)))</f>
        <v>1</v>
      </c>
      <c r="C301" s="9" t="n">
        <f aca="false">IF(A301&lt;=Resultados!$B$9,Resultados!$B$10,0)</f>
        <v>0</v>
      </c>
      <c r="D301" s="9" t="n">
        <f aca="false">Resultados!$E$37*$B301-Resultados!$F$37*$B301-Premissas!$B$24-Resultados!$E$37*$B301*(Premissas!$B$14/100)</f>
        <v>19027</v>
      </c>
      <c r="E301" s="9" t="n">
        <f aca="false">D301-$C301</f>
        <v>19027</v>
      </c>
      <c r="F301" s="9" t="n">
        <f aca="false">F300+E301</f>
        <v>5261415.9</v>
      </c>
      <c r="G301" s="37" t="str">
        <f aca="false">IF(AND(F300&lt;0,F301&gt;=0,A301&lt;=MAX(120,Premissas!$B$15*12)),(A301-1)+(-F300)/E301,"")</f>
        <v/>
      </c>
      <c r="H301" s="9" t="n">
        <f aca="false">Resultados!$E$38*$B301-Resultados!$F$38*$B301-Premissas!$B$24-Resultados!$E$38*$B301*(Premissas!$B$14/100)</f>
        <v>24432.4</v>
      </c>
      <c r="I301" s="9" t="n">
        <f aca="false">H301-$C301</f>
        <v>24432.4</v>
      </c>
      <c r="J301" s="9" t="n">
        <f aca="false">J300+I301</f>
        <v>6848981.88000003</v>
      </c>
      <c r="K301" s="37" t="str">
        <f aca="false">IF(AND(J300&lt;0,J301&gt;=0,A301&lt;=MAX(120,Premissas!$B$15*12)),(A301-1)+(-J300)/I301,"")</f>
        <v/>
      </c>
      <c r="L301" s="9" t="n">
        <f aca="false">Resultados!$E$39*$B301-Resultados!$F$39*$B301-Premissas!$B$24-Resultados!$E$39*$B301*(Premissas!$B$14/100)</f>
        <v>29837.8</v>
      </c>
      <c r="M301" s="9" t="n">
        <f aca="false">L301-$C301</f>
        <v>29837.8</v>
      </c>
      <c r="N301" s="9" t="n">
        <f aca="false">N300+M301</f>
        <v>8436547.85999996</v>
      </c>
      <c r="O301" s="37" t="str">
        <f aca="false">IF(AND(N300&lt;0,N301&gt;=0,A301&lt;=MAX(120,Premissas!$B$15*12)),(A301-1)+(-N300)/M301,"")</f>
        <v/>
      </c>
      <c r="P301" s="9" t="n">
        <f aca="false">Resultados!$B$19*$B301-Resultados!$B$20*$B301-Premissas!$B$24-Resultados!$B$19*$B301*(Premissas!$B$14/100)</f>
        <v>24432.4</v>
      </c>
      <c r="Q301" s="9" t="n">
        <f aca="false">P301-$C301</f>
        <v>24432.4</v>
      </c>
      <c r="R301" s="9" t="n">
        <f aca="false">R300+Q301</f>
        <v>6848981.88000003</v>
      </c>
      <c r="S301" s="37" t="str">
        <f aca="false">IF(AND(R300&lt;0,R301&gt;=0,A301&lt;=MAX(120,Premissas!$B$15*12)),(A301-1)+(-R300)/Q301,"")</f>
        <v/>
      </c>
    </row>
    <row r="302" customFormat="false" ht="15" hidden="false" customHeight="false" outlineLevel="0" collapsed="false">
      <c r="A302" s="10" t="n">
        <f aca="false">A301+1</f>
        <v>298</v>
      </c>
      <c r="B302" s="36" t="n">
        <f aca="false">IF(Premissas!$B$9&lt;=1,1,MIN(1,Premissas!$B$8/100+(1-Premissas!$B$8/100)*(A302-1)/(Premissas!$B$9-1)))</f>
        <v>1</v>
      </c>
      <c r="C302" s="9" t="n">
        <f aca="false">IF(A302&lt;=Resultados!$B$9,Resultados!$B$10,0)</f>
        <v>0</v>
      </c>
      <c r="D302" s="9" t="n">
        <f aca="false">Resultados!$E$37*$B302-Resultados!$F$37*$B302-Premissas!$B$24-Resultados!$E$37*$B302*(Premissas!$B$14/100)</f>
        <v>19027</v>
      </c>
      <c r="E302" s="9" t="n">
        <f aca="false">D302-$C302</f>
        <v>19027</v>
      </c>
      <c r="F302" s="9" t="n">
        <f aca="false">F301+E302</f>
        <v>5280442.9</v>
      </c>
      <c r="G302" s="37" t="str">
        <f aca="false">IF(AND(F301&lt;0,F302&gt;=0,A302&lt;=MAX(120,Premissas!$B$15*12)),(A302-1)+(-F301)/E302,"")</f>
        <v/>
      </c>
      <c r="H302" s="9" t="n">
        <f aca="false">Resultados!$E$38*$B302-Resultados!$F$38*$B302-Premissas!$B$24-Resultados!$E$38*$B302*(Premissas!$B$14/100)</f>
        <v>24432.4</v>
      </c>
      <c r="I302" s="9" t="n">
        <f aca="false">H302-$C302</f>
        <v>24432.4</v>
      </c>
      <c r="J302" s="9" t="n">
        <f aca="false">J301+I302</f>
        <v>6873414.28000003</v>
      </c>
      <c r="K302" s="37" t="str">
        <f aca="false">IF(AND(J301&lt;0,J302&gt;=0,A302&lt;=MAX(120,Premissas!$B$15*12)),(A302-1)+(-J301)/I302,"")</f>
        <v/>
      </c>
      <c r="L302" s="9" t="n">
        <f aca="false">Resultados!$E$39*$B302-Resultados!$F$39*$B302-Premissas!$B$24-Resultados!$E$39*$B302*(Premissas!$B$14/100)</f>
        <v>29837.8</v>
      </c>
      <c r="M302" s="9" t="n">
        <f aca="false">L302-$C302</f>
        <v>29837.8</v>
      </c>
      <c r="N302" s="9" t="n">
        <f aca="false">N301+M302</f>
        <v>8466385.65999997</v>
      </c>
      <c r="O302" s="37" t="str">
        <f aca="false">IF(AND(N301&lt;0,N302&gt;=0,A302&lt;=MAX(120,Premissas!$B$15*12)),(A302-1)+(-N301)/M302,"")</f>
        <v/>
      </c>
      <c r="P302" s="9" t="n">
        <f aca="false">Resultados!$B$19*$B302-Resultados!$B$20*$B302-Premissas!$B$24-Resultados!$B$19*$B302*(Premissas!$B$14/100)</f>
        <v>24432.4</v>
      </c>
      <c r="Q302" s="9" t="n">
        <f aca="false">P302-$C302</f>
        <v>24432.4</v>
      </c>
      <c r="R302" s="9" t="n">
        <f aca="false">R301+Q302</f>
        <v>6873414.28000003</v>
      </c>
      <c r="S302" s="37" t="str">
        <f aca="false">IF(AND(R301&lt;0,R302&gt;=0,A302&lt;=MAX(120,Premissas!$B$15*12)),(A302-1)+(-R301)/Q302,"")</f>
        <v/>
      </c>
    </row>
    <row r="303" customFormat="false" ht="15" hidden="false" customHeight="false" outlineLevel="0" collapsed="false">
      <c r="A303" s="10" t="n">
        <f aca="false">A302+1</f>
        <v>299</v>
      </c>
      <c r="B303" s="36" t="n">
        <f aca="false">IF(Premissas!$B$9&lt;=1,1,MIN(1,Premissas!$B$8/100+(1-Premissas!$B$8/100)*(A303-1)/(Premissas!$B$9-1)))</f>
        <v>1</v>
      </c>
      <c r="C303" s="9" t="n">
        <f aca="false">IF(A303&lt;=Resultados!$B$9,Resultados!$B$10,0)</f>
        <v>0</v>
      </c>
      <c r="D303" s="9" t="n">
        <f aca="false">Resultados!$E$37*$B303-Resultados!$F$37*$B303-Premissas!$B$24-Resultados!$E$37*$B303*(Premissas!$B$14/100)</f>
        <v>19027</v>
      </c>
      <c r="E303" s="9" t="n">
        <f aca="false">D303-$C303</f>
        <v>19027</v>
      </c>
      <c r="F303" s="9" t="n">
        <f aca="false">F302+E303</f>
        <v>5299469.9</v>
      </c>
      <c r="G303" s="37" t="str">
        <f aca="false">IF(AND(F302&lt;0,F303&gt;=0,A303&lt;=MAX(120,Premissas!$B$15*12)),(A303-1)+(-F302)/E303,"")</f>
        <v/>
      </c>
      <c r="H303" s="9" t="n">
        <f aca="false">Resultados!$E$38*$B303-Resultados!$F$38*$B303-Premissas!$B$24-Resultados!$E$38*$B303*(Premissas!$B$14/100)</f>
        <v>24432.4</v>
      </c>
      <c r="I303" s="9" t="n">
        <f aca="false">H303-$C303</f>
        <v>24432.4</v>
      </c>
      <c r="J303" s="9" t="n">
        <f aca="false">J302+I303</f>
        <v>6897846.68000003</v>
      </c>
      <c r="K303" s="37" t="str">
        <f aca="false">IF(AND(J302&lt;0,J303&gt;=0,A303&lt;=MAX(120,Premissas!$B$15*12)),(A303-1)+(-J302)/I303,"")</f>
        <v/>
      </c>
      <c r="L303" s="9" t="n">
        <f aca="false">Resultados!$E$39*$B303-Resultados!$F$39*$B303-Premissas!$B$24-Resultados!$E$39*$B303*(Premissas!$B$14/100)</f>
        <v>29837.8</v>
      </c>
      <c r="M303" s="9" t="n">
        <f aca="false">L303-$C303</f>
        <v>29837.8</v>
      </c>
      <c r="N303" s="9" t="n">
        <f aca="false">N302+M303</f>
        <v>8496223.45999997</v>
      </c>
      <c r="O303" s="37" t="str">
        <f aca="false">IF(AND(N302&lt;0,N303&gt;=0,A303&lt;=MAX(120,Premissas!$B$15*12)),(A303-1)+(-N302)/M303,"")</f>
        <v/>
      </c>
      <c r="P303" s="9" t="n">
        <f aca="false">Resultados!$B$19*$B303-Resultados!$B$20*$B303-Premissas!$B$24-Resultados!$B$19*$B303*(Premissas!$B$14/100)</f>
        <v>24432.4</v>
      </c>
      <c r="Q303" s="9" t="n">
        <f aca="false">P303-$C303</f>
        <v>24432.4</v>
      </c>
      <c r="R303" s="9" t="n">
        <f aca="false">R302+Q303</f>
        <v>6897846.68000003</v>
      </c>
      <c r="S303" s="37" t="str">
        <f aca="false">IF(AND(R302&lt;0,R303&gt;=0,A303&lt;=MAX(120,Premissas!$B$15*12)),(A303-1)+(-R302)/Q303,"")</f>
        <v/>
      </c>
    </row>
    <row r="304" customFormat="false" ht="15" hidden="false" customHeight="false" outlineLevel="0" collapsed="false">
      <c r="A304" s="10" t="n">
        <f aca="false">A303+1</f>
        <v>300</v>
      </c>
      <c r="B304" s="36" t="n">
        <f aca="false">IF(Premissas!$B$9&lt;=1,1,MIN(1,Premissas!$B$8/100+(1-Premissas!$B$8/100)*(A304-1)/(Premissas!$B$9-1)))</f>
        <v>1</v>
      </c>
      <c r="C304" s="9" t="n">
        <f aca="false">IF(A304&lt;=Resultados!$B$9,Resultados!$B$10,0)</f>
        <v>0</v>
      </c>
      <c r="D304" s="9" t="n">
        <f aca="false">Resultados!$E$37*$B304-Resultados!$F$37*$B304-Premissas!$B$24-Resultados!$E$37*$B304*(Premissas!$B$14/100)</f>
        <v>19027</v>
      </c>
      <c r="E304" s="9" t="n">
        <f aca="false">D304-$C304</f>
        <v>19027</v>
      </c>
      <c r="F304" s="9" t="n">
        <f aca="false">F303+E304</f>
        <v>5318496.9</v>
      </c>
      <c r="G304" s="37" t="str">
        <f aca="false">IF(AND(F303&lt;0,F304&gt;=0,A304&lt;=MAX(120,Premissas!$B$15*12)),(A304-1)+(-F303)/E304,"")</f>
        <v/>
      </c>
      <c r="H304" s="9" t="n">
        <f aca="false">Resultados!$E$38*$B304-Resultados!$F$38*$B304-Premissas!$B$24-Resultados!$E$38*$B304*(Premissas!$B$14/100)</f>
        <v>24432.4</v>
      </c>
      <c r="I304" s="9" t="n">
        <f aca="false">H304-$C304</f>
        <v>24432.4</v>
      </c>
      <c r="J304" s="9" t="n">
        <f aca="false">J303+I304</f>
        <v>6922279.08000003</v>
      </c>
      <c r="K304" s="37" t="str">
        <f aca="false">IF(AND(J303&lt;0,J304&gt;=0,A304&lt;=MAX(120,Premissas!$B$15*12)),(A304-1)+(-J303)/I304,"")</f>
        <v/>
      </c>
      <c r="L304" s="9" t="n">
        <f aca="false">Resultados!$E$39*$B304-Resultados!$F$39*$B304-Premissas!$B$24-Resultados!$E$39*$B304*(Premissas!$B$14/100)</f>
        <v>29837.8</v>
      </c>
      <c r="M304" s="9" t="n">
        <f aca="false">L304-$C304</f>
        <v>29837.8</v>
      </c>
      <c r="N304" s="9" t="n">
        <f aca="false">N303+M304</f>
        <v>8526061.25999997</v>
      </c>
      <c r="O304" s="37" t="str">
        <f aca="false">IF(AND(N303&lt;0,N304&gt;=0,A304&lt;=MAX(120,Premissas!$B$15*12)),(A304-1)+(-N303)/M304,"")</f>
        <v/>
      </c>
      <c r="P304" s="9" t="n">
        <f aca="false">Resultados!$B$19*$B304-Resultados!$B$20*$B304-Premissas!$B$24-Resultados!$B$19*$B304*(Premissas!$B$14/100)</f>
        <v>24432.4</v>
      </c>
      <c r="Q304" s="9" t="n">
        <f aca="false">P304-$C304</f>
        <v>24432.4</v>
      </c>
      <c r="R304" s="9" t="n">
        <f aca="false">R303+Q304</f>
        <v>6922279.08000003</v>
      </c>
      <c r="S304" s="37" t="str">
        <f aca="false">IF(AND(R303&lt;0,R304&gt;=0,A304&lt;=MAX(120,Premissas!$B$15*12)),(A304-1)+(-R303)/Q304,"")</f>
        <v/>
      </c>
    </row>
    <row r="305" customFormat="false" ht="15" hidden="false" customHeight="false" outlineLevel="0" collapsed="false">
      <c r="A305" s="10" t="n">
        <f aca="false">A304+1</f>
        <v>301</v>
      </c>
      <c r="B305" s="36" t="n">
        <f aca="false">IF(Premissas!$B$9&lt;=1,1,MIN(1,Premissas!$B$8/100+(1-Premissas!$B$8/100)*(A305-1)/(Premissas!$B$9-1)))</f>
        <v>1</v>
      </c>
      <c r="C305" s="9" t="n">
        <f aca="false">IF(A305&lt;=Resultados!$B$9,Resultados!$B$10,0)</f>
        <v>0</v>
      </c>
      <c r="D305" s="9" t="n">
        <f aca="false">Resultados!$E$37*$B305-Resultados!$F$37*$B305-Premissas!$B$24-Resultados!$E$37*$B305*(Premissas!$B$14/100)</f>
        <v>19027</v>
      </c>
      <c r="E305" s="9" t="n">
        <f aca="false">D305-$C305</f>
        <v>19027</v>
      </c>
      <c r="F305" s="9" t="n">
        <f aca="false">F304+E305</f>
        <v>5337523.9</v>
      </c>
      <c r="G305" s="37" t="str">
        <f aca="false">IF(AND(F304&lt;0,F305&gt;=0,A305&lt;=MAX(120,Premissas!$B$15*12)),(A305-1)+(-F304)/E305,"")</f>
        <v/>
      </c>
      <c r="H305" s="9" t="n">
        <f aca="false">Resultados!$E$38*$B305-Resultados!$F$38*$B305-Premissas!$B$24-Resultados!$E$38*$B305*(Premissas!$B$14/100)</f>
        <v>24432.4</v>
      </c>
      <c r="I305" s="9" t="n">
        <f aca="false">H305-$C305</f>
        <v>24432.4</v>
      </c>
      <c r="J305" s="9" t="n">
        <f aca="false">J304+I305</f>
        <v>6946711.48000003</v>
      </c>
      <c r="K305" s="37" t="str">
        <f aca="false">IF(AND(J304&lt;0,J305&gt;=0,A305&lt;=MAX(120,Premissas!$B$15*12)),(A305-1)+(-J304)/I305,"")</f>
        <v/>
      </c>
      <c r="L305" s="9" t="n">
        <f aca="false">Resultados!$E$39*$B305-Resultados!$F$39*$B305-Premissas!$B$24-Resultados!$E$39*$B305*(Premissas!$B$14/100)</f>
        <v>29837.8</v>
      </c>
      <c r="M305" s="9" t="n">
        <f aca="false">L305-$C305</f>
        <v>29837.8</v>
      </c>
      <c r="N305" s="9" t="n">
        <f aca="false">N304+M305</f>
        <v>8555899.05999997</v>
      </c>
      <c r="O305" s="37" t="str">
        <f aca="false">IF(AND(N304&lt;0,N305&gt;=0,A305&lt;=MAX(120,Premissas!$B$15*12)),(A305-1)+(-N304)/M305,"")</f>
        <v/>
      </c>
      <c r="P305" s="9" t="n">
        <f aca="false">Resultados!$B$19*$B305-Resultados!$B$20*$B305-Premissas!$B$24-Resultados!$B$19*$B305*(Premissas!$B$14/100)</f>
        <v>24432.4</v>
      </c>
      <c r="Q305" s="9" t="n">
        <f aca="false">P305-$C305</f>
        <v>24432.4</v>
      </c>
      <c r="R305" s="9" t="n">
        <f aca="false">R304+Q305</f>
        <v>6946711.48000003</v>
      </c>
      <c r="S305" s="37" t="str">
        <f aca="false">IF(AND(R304&lt;0,R305&gt;=0,A305&lt;=MAX(120,Premissas!$B$15*12)),(A305-1)+(-R304)/Q305,"")</f>
        <v/>
      </c>
    </row>
    <row r="306" customFormat="false" ht="15" hidden="false" customHeight="false" outlineLevel="0" collapsed="false">
      <c r="A306" s="10" t="n">
        <f aca="false">A305+1</f>
        <v>302</v>
      </c>
      <c r="B306" s="36" t="n">
        <f aca="false">IF(Premissas!$B$9&lt;=1,1,MIN(1,Premissas!$B$8/100+(1-Premissas!$B$8/100)*(A306-1)/(Premissas!$B$9-1)))</f>
        <v>1</v>
      </c>
      <c r="C306" s="9" t="n">
        <f aca="false">IF(A306&lt;=Resultados!$B$9,Resultados!$B$10,0)</f>
        <v>0</v>
      </c>
      <c r="D306" s="9" t="n">
        <f aca="false">Resultados!$E$37*$B306-Resultados!$F$37*$B306-Premissas!$B$24-Resultados!$E$37*$B306*(Premissas!$B$14/100)</f>
        <v>19027</v>
      </c>
      <c r="E306" s="9" t="n">
        <f aca="false">D306-$C306</f>
        <v>19027</v>
      </c>
      <c r="F306" s="9" t="n">
        <f aca="false">F305+E306</f>
        <v>5356550.9</v>
      </c>
      <c r="G306" s="37" t="str">
        <f aca="false">IF(AND(F305&lt;0,F306&gt;=0,A306&lt;=MAX(120,Premissas!$B$15*12)),(A306-1)+(-F305)/E306,"")</f>
        <v/>
      </c>
      <c r="H306" s="9" t="n">
        <f aca="false">Resultados!$E$38*$B306-Resultados!$F$38*$B306-Premissas!$B$24-Resultados!$E$38*$B306*(Premissas!$B$14/100)</f>
        <v>24432.4</v>
      </c>
      <c r="I306" s="9" t="n">
        <f aca="false">H306-$C306</f>
        <v>24432.4</v>
      </c>
      <c r="J306" s="9" t="n">
        <f aca="false">J305+I306</f>
        <v>6971143.88000003</v>
      </c>
      <c r="K306" s="37" t="str">
        <f aca="false">IF(AND(J305&lt;0,J306&gt;=0,A306&lt;=MAX(120,Premissas!$B$15*12)),(A306-1)+(-J305)/I306,"")</f>
        <v/>
      </c>
      <c r="L306" s="9" t="n">
        <f aca="false">Resultados!$E$39*$B306-Resultados!$F$39*$B306-Premissas!$B$24-Resultados!$E$39*$B306*(Premissas!$B$14/100)</f>
        <v>29837.8</v>
      </c>
      <c r="M306" s="9" t="n">
        <f aca="false">L306-$C306</f>
        <v>29837.8</v>
      </c>
      <c r="N306" s="9" t="n">
        <f aca="false">N305+M306</f>
        <v>8585736.85999997</v>
      </c>
      <c r="O306" s="37" t="str">
        <f aca="false">IF(AND(N305&lt;0,N306&gt;=0,A306&lt;=MAX(120,Premissas!$B$15*12)),(A306-1)+(-N305)/M306,"")</f>
        <v/>
      </c>
      <c r="P306" s="9" t="n">
        <f aca="false">Resultados!$B$19*$B306-Resultados!$B$20*$B306-Premissas!$B$24-Resultados!$B$19*$B306*(Premissas!$B$14/100)</f>
        <v>24432.4</v>
      </c>
      <c r="Q306" s="9" t="n">
        <f aca="false">P306-$C306</f>
        <v>24432.4</v>
      </c>
      <c r="R306" s="9" t="n">
        <f aca="false">R305+Q306</f>
        <v>6971143.88000003</v>
      </c>
      <c r="S306" s="37" t="str">
        <f aca="false">IF(AND(R305&lt;0,R306&gt;=0,A306&lt;=MAX(120,Premissas!$B$15*12)),(A306-1)+(-R305)/Q306,"")</f>
        <v/>
      </c>
    </row>
    <row r="307" customFormat="false" ht="15" hidden="false" customHeight="false" outlineLevel="0" collapsed="false">
      <c r="A307" s="10" t="n">
        <f aca="false">A306+1</f>
        <v>303</v>
      </c>
      <c r="B307" s="36" t="n">
        <f aca="false">IF(Premissas!$B$9&lt;=1,1,MIN(1,Premissas!$B$8/100+(1-Premissas!$B$8/100)*(A307-1)/(Premissas!$B$9-1)))</f>
        <v>1</v>
      </c>
      <c r="C307" s="9" t="n">
        <f aca="false">IF(A307&lt;=Resultados!$B$9,Resultados!$B$10,0)</f>
        <v>0</v>
      </c>
      <c r="D307" s="9" t="n">
        <f aca="false">Resultados!$E$37*$B307-Resultados!$F$37*$B307-Premissas!$B$24-Resultados!$E$37*$B307*(Premissas!$B$14/100)</f>
        <v>19027</v>
      </c>
      <c r="E307" s="9" t="n">
        <f aca="false">D307-$C307</f>
        <v>19027</v>
      </c>
      <c r="F307" s="9" t="n">
        <f aca="false">F306+E307</f>
        <v>5375577.9</v>
      </c>
      <c r="G307" s="37" t="str">
        <f aca="false">IF(AND(F306&lt;0,F307&gt;=0,A307&lt;=MAX(120,Premissas!$B$15*12)),(A307-1)+(-F306)/E307,"")</f>
        <v/>
      </c>
      <c r="H307" s="9" t="n">
        <f aca="false">Resultados!$E$38*$B307-Resultados!$F$38*$B307-Premissas!$B$24-Resultados!$E$38*$B307*(Premissas!$B$14/100)</f>
        <v>24432.4</v>
      </c>
      <c r="I307" s="9" t="n">
        <f aca="false">H307-$C307</f>
        <v>24432.4</v>
      </c>
      <c r="J307" s="9" t="n">
        <f aca="false">J306+I307</f>
        <v>6995576.28000003</v>
      </c>
      <c r="K307" s="37" t="str">
        <f aca="false">IF(AND(J306&lt;0,J307&gt;=0,A307&lt;=MAX(120,Premissas!$B$15*12)),(A307-1)+(-J306)/I307,"")</f>
        <v/>
      </c>
      <c r="L307" s="9" t="n">
        <f aca="false">Resultados!$E$39*$B307-Resultados!$F$39*$B307-Premissas!$B$24-Resultados!$E$39*$B307*(Premissas!$B$14/100)</f>
        <v>29837.8</v>
      </c>
      <c r="M307" s="9" t="n">
        <f aca="false">L307-$C307</f>
        <v>29837.8</v>
      </c>
      <c r="N307" s="9" t="n">
        <f aca="false">N306+M307</f>
        <v>8615574.65999997</v>
      </c>
      <c r="O307" s="37" t="str">
        <f aca="false">IF(AND(N306&lt;0,N307&gt;=0,A307&lt;=MAX(120,Premissas!$B$15*12)),(A307-1)+(-N306)/M307,"")</f>
        <v/>
      </c>
      <c r="P307" s="9" t="n">
        <f aca="false">Resultados!$B$19*$B307-Resultados!$B$20*$B307-Premissas!$B$24-Resultados!$B$19*$B307*(Premissas!$B$14/100)</f>
        <v>24432.4</v>
      </c>
      <c r="Q307" s="9" t="n">
        <f aca="false">P307-$C307</f>
        <v>24432.4</v>
      </c>
      <c r="R307" s="9" t="n">
        <f aca="false">R306+Q307</f>
        <v>6995576.28000003</v>
      </c>
      <c r="S307" s="37" t="str">
        <f aca="false">IF(AND(R306&lt;0,R307&gt;=0,A307&lt;=MAX(120,Premissas!$B$15*12)),(A307-1)+(-R306)/Q307,"")</f>
        <v/>
      </c>
    </row>
    <row r="308" customFormat="false" ht="15" hidden="false" customHeight="false" outlineLevel="0" collapsed="false">
      <c r="A308" s="10" t="n">
        <f aca="false">A307+1</f>
        <v>304</v>
      </c>
      <c r="B308" s="36" t="n">
        <f aca="false">IF(Premissas!$B$9&lt;=1,1,MIN(1,Premissas!$B$8/100+(1-Premissas!$B$8/100)*(A308-1)/(Premissas!$B$9-1)))</f>
        <v>1</v>
      </c>
      <c r="C308" s="9" t="n">
        <f aca="false">IF(A308&lt;=Resultados!$B$9,Resultados!$B$10,0)</f>
        <v>0</v>
      </c>
      <c r="D308" s="9" t="n">
        <f aca="false">Resultados!$E$37*$B308-Resultados!$F$37*$B308-Premissas!$B$24-Resultados!$E$37*$B308*(Premissas!$B$14/100)</f>
        <v>19027</v>
      </c>
      <c r="E308" s="9" t="n">
        <f aca="false">D308-$C308</f>
        <v>19027</v>
      </c>
      <c r="F308" s="9" t="n">
        <f aca="false">F307+E308</f>
        <v>5394604.9</v>
      </c>
      <c r="G308" s="37" t="str">
        <f aca="false">IF(AND(F307&lt;0,F308&gt;=0,A308&lt;=MAX(120,Premissas!$B$15*12)),(A308-1)+(-F307)/E308,"")</f>
        <v/>
      </c>
      <c r="H308" s="9" t="n">
        <f aca="false">Resultados!$E$38*$B308-Resultados!$F$38*$B308-Premissas!$B$24-Resultados!$E$38*$B308*(Premissas!$B$14/100)</f>
        <v>24432.4</v>
      </c>
      <c r="I308" s="9" t="n">
        <f aca="false">H308-$C308</f>
        <v>24432.4</v>
      </c>
      <c r="J308" s="9" t="n">
        <f aca="false">J307+I308</f>
        <v>7020008.68000003</v>
      </c>
      <c r="K308" s="37" t="str">
        <f aca="false">IF(AND(J307&lt;0,J308&gt;=0,A308&lt;=MAX(120,Premissas!$B$15*12)),(A308-1)+(-J307)/I308,"")</f>
        <v/>
      </c>
      <c r="L308" s="9" t="n">
        <f aca="false">Resultados!$E$39*$B308-Resultados!$F$39*$B308-Premissas!$B$24-Resultados!$E$39*$B308*(Premissas!$B$14/100)</f>
        <v>29837.8</v>
      </c>
      <c r="M308" s="9" t="n">
        <f aca="false">L308-$C308</f>
        <v>29837.8</v>
      </c>
      <c r="N308" s="9" t="n">
        <f aca="false">N307+M308</f>
        <v>8645412.45999997</v>
      </c>
      <c r="O308" s="37" t="str">
        <f aca="false">IF(AND(N307&lt;0,N308&gt;=0,A308&lt;=MAX(120,Premissas!$B$15*12)),(A308-1)+(-N307)/M308,"")</f>
        <v/>
      </c>
      <c r="P308" s="9" t="n">
        <f aca="false">Resultados!$B$19*$B308-Resultados!$B$20*$B308-Premissas!$B$24-Resultados!$B$19*$B308*(Premissas!$B$14/100)</f>
        <v>24432.4</v>
      </c>
      <c r="Q308" s="9" t="n">
        <f aca="false">P308-$C308</f>
        <v>24432.4</v>
      </c>
      <c r="R308" s="9" t="n">
        <f aca="false">R307+Q308</f>
        <v>7020008.68000003</v>
      </c>
      <c r="S308" s="37" t="str">
        <f aca="false">IF(AND(R307&lt;0,R308&gt;=0,A308&lt;=MAX(120,Premissas!$B$15*12)),(A308-1)+(-R307)/Q308,"")</f>
        <v/>
      </c>
    </row>
    <row r="309" customFormat="false" ht="15" hidden="false" customHeight="false" outlineLevel="0" collapsed="false">
      <c r="A309" s="10" t="n">
        <f aca="false">A308+1</f>
        <v>305</v>
      </c>
      <c r="B309" s="36" t="n">
        <f aca="false">IF(Premissas!$B$9&lt;=1,1,MIN(1,Premissas!$B$8/100+(1-Premissas!$B$8/100)*(A309-1)/(Premissas!$B$9-1)))</f>
        <v>1</v>
      </c>
      <c r="C309" s="9" t="n">
        <f aca="false">IF(A309&lt;=Resultados!$B$9,Resultados!$B$10,0)</f>
        <v>0</v>
      </c>
      <c r="D309" s="9" t="n">
        <f aca="false">Resultados!$E$37*$B309-Resultados!$F$37*$B309-Premissas!$B$24-Resultados!$E$37*$B309*(Premissas!$B$14/100)</f>
        <v>19027</v>
      </c>
      <c r="E309" s="9" t="n">
        <f aca="false">D309-$C309</f>
        <v>19027</v>
      </c>
      <c r="F309" s="9" t="n">
        <f aca="false">F308+E309</f>
        <v>5413631.9</v>
      </c>
      <c r="G309" s="37" t="str">
        <f aca="false">IF(AND(F308&lt;0,F309&gt;=0,A309&lt;=MAX(120,Premissas!$B$15*12)),(A309-1)+(-F308)/E309,"")</f>
        <v/>
      </c>
      <c r="H309" s="9" t="n">
        <f aca="false">Resultados!$E$38*$B309-Resultados!$F$38*$B309-Premissas!$B$24-Resultados!$E$38*$B309*(Premissas!$B$14/100)</f>
        <v>24432.4</v>
      </c>
      <c r="I309" s="9" t="n">
        <f aca="false">H309-$C309</f>
        <v>24432.4</v>
      </c>
      <c r="J309" s="9" t="n">
        <f aca="false">J308+I309</f>
        <v>7044441.08000003</v>
      </c>
      <c r="K309" s="37" t="str">
        <f aca="false">IF(AND(J308&lt;0,J309&gt;=0,A309&lt;=MAX(120,Premissas!$B$15*12)),(A309-1)+(-J308)/I309,"")</f>
        <v/>
      </c>
      <c r="L309" s="9" t="n">
        <f aca="false">Resultados!$E$39*$B309-Resultados!$F$39*$B309-Premissas!$B$24-Resultados!$E$39*$B309*(Premissas!$B$14/100)</f>
        <v>29837.8</v>
      </c>
      <c r="M309" s="9" t="n">
        <f aca="false">L309-$C309</f>
        <v>29837.8</v>
      </c>
      <c r="N309" s="9" t="n">
        <f aca="false">N308+M309</f>
        <v>8675250.25999997</v>
      </c>
      <c r="O309" s="37" t="str">
        <f aca="false">IF(AND(N308&lt;0,N309&gt;=0,A309&lt;=MAX(120,Premissas!$B$15*12)),(A309-1)+(-N308)/M309,"")</f>
        <v/>
      </c>
      <c r="P309" s="9" t="n">
        <f aca="false">Resultados!$B$19*$B309-Resultados!$B$20*$B309-Premissas!$B$24-Resultados!$B$19*$B309*(Premissas!$B$14/100)</f>
        <v>24432.4</v>
      </c>
      <c r="Q309" s="9" t="n">
        <f aca="false">P309-$C309</f>
        <v>24432.4</v>
      </c>
      <c r="R309" s="9" t="n">
        <f aca="false">R308+Q309</f>
        <v>7044441.08000003</v>
      </c>
      <c r="S309" s="37" t="str">
        <f aca="false">IF(AND(R308&lt;0,R309&gt;=0,A309&lt;=MAX(120,Premissas!$B$15*12)),(A309-1)+(-R308)/Q309,"")</f>
        <v/>
      </c>
    </row>
    <row r="310" customFormat="false" ht="15" hidden="false" customHeight="false" outlineLevel="0" collapsed="false">
      <c r="A310" s="10" t="n">
        <f aca="false">A309+1</f>
        <v>306</v>
      </c>
      <c r="B310" s="36" t="n">
        <f aca="false">IF(Premissas!$B$9&lt;=1,1,MIN(1,Premissas!$B$8/100+(1-Premissas!$B$8/100)*(A310-1)/(Premissas!$B$9-1)))</f>
        <v>1</v>
      </c>
      <c r="C310" s="9" t="n">
        <f aca="false">IF(A310&lt;=Resultados!$B$9,Resultados!$B$10,0)</f>
        <v>0</v>
      </c>
      <c r="D310" s="9" t="n">
        <f aca="false">Resultados!$E$37*$B310-Resultados!$F$37*$B310-Premissas!$B$24-Resultados!$E$37*$B310*(Premissas!$B$14/100)</f>
        <v>19027</v>
      </c>
      <c r="E310" s="9" t="n">
        <f aca="false">D310-$C310</f>
        <v>19027</v>
      </c>
      <c r="F310" s="9" t="n">
        <f aca="false">F309+E310</f>
        <v>5432658.9</v>
      </c>
      <c r="G310" s="37" t="str">
        <f aca="false">IF(AND(F309&lt;0,F310&gt;=0,A310&lt;=MAX(120,Premissas!$B$15*12)),(A310-1)+(-F309)/E310,"")</f>
        <v/>
      </c>
      <c r="H310" s="9" t="n">
        <f aca="false">Resultados!$E$38*$B310-Resultados!$F$38*$B310-Premissas!$B$24-Resultados!$E$38*$B310*(Premissas!$B$14/100)</f>
        <v>24432.4</v>
      </c>
      <c r="I310" s="9" t="n">
        <f aca="false">H310-$C310</f>
        <v>24432.4</v>
      </c>
      <c r="J310" s="9" t="n">
        <f aca="false">J309+I310</f>
        <v>7068873.48000003</v>
      </c>
      <c r="K310" s="37" t="str">
        <f aca="false">IF(AND(J309&lt;0,J310&gt;=0,A310&lt;=MAX(120,Premissas!$B$15*12)),(A310-1)+(-J309)/I310,"")</f>
        <v/>
      </c>
      <c r="L310" s="9" t="n">
        <f aca="false">Resultados!$E$39*$B310-Resultados!$F$39*$B310-Premissas!$B$24-Resultados!$E$39*$B310*(Premissas!$B$14/100)</f>
        <v>29837.8</v>
      </c>
      <c r="M310" s="9" t="n">
        <f aca="false">L310-$C310</f>
        <v>29837.8</v>
      </c>
      <c r="N310" s="9" t="n">
        <f aca="false">N309+M310</f>
        <v>8705088.05999997</v>
      </c>
      <c r="O310" s="37" t="str">
        <f aca="false">IF(AND(N309&lt;0,N310&gt;=0,A310&lt;=MAX(120,Premissas!$B$15*12)),(A310-1)+(-N309)/M310,"")</f>
        <v/>
      </c>
      <c r="P310" s="9" t="n">
        <f aca="false">Resultados!$B$19*$B310-Resultados!$B$20*$B310-Premissas!$B$24-Resultados!$B$19*$B310*(Premissas!$B$14/100)</f>
        <v>24432.4</v>
      </c>
      <c r="Q310" s="9" t="n">
        <f aca="false">P310-$C310</f>
        <v>24432.4</v>
      </c>
      <c r="R310" s="9" t="n">
        <f aca="false">R309+Q310</f>
        <v>7068873.48000003</v>
      </c>
      <c r="S310" s="37" t="str">
        <f aca="false">IF(AND(R309&lt;0,R310&gt;=0,A310&lt;=MAX(120,Premissas!$B$15*12)),(A310-1)+(-R309)/Q310,"")</f>
        <v/>
      </c>
    </row>
    <row r="311" customFormat="false" ht="15" hidden="false" customHeight="false" outlineLevel="0" collapsed="false">
      <c r="A311" s="10" t="n">
        <f aca="false">A310+1</f>
        <v>307</v>
      </c>
      <c r="B311" s="36" t="n">
        <f aca="false">IF(Premissas!$B$9&lt;=1,1,MIN(1,Premissas!$B$8/100+(1-Premissas!$B$8/100)*(A311-1)/(Premissas!$B$9-1)))</f>
        <v>1</v>
      </c>
      <c r="C311" s="9" t="n">
        <f aca="false">IF(A311&lt;=Resultados!$B$9,Resultados!$B$10,0)</f>
        <v>0</v>
      </c>
      <c r="D311" s="9" t="n">
        <f aca="false">Resultados!$E$37*$B311-Resultados!$F$37*$B311-Premissas!$B$24-Resultados!$E$37*$B311*(Premissas!$B$14/100)</f>
        <v>19027</v>
      </c>
      <c r="E311" s="9" t="n">
        <f aca="false">D311-$C311</f>
        <v>19027</v>
      </c>
      <c r="F311" s="9" t="n">
        <f aca="false">F310+E311</f>
        <v>5451685.9</v>
      </c>
      <c r="G311" s="37" t="str">
        <f aca="false">IF(AND(F310&lt;0,F311&gt;=0,A311&lt;=MAX(120,Premissas!$B$15*12)),(A311-1)+(-F310)/E311,"")</f>
        <v/>
      </c>
      <c r="H311" s="9" t="n">
        <f aca="false">Resultados!$E$38*$B311-Resultados!$F$38*$B311-Premissas!$B$24-Resultados!$E$38*$B311*(Premissas!$B$14/100)</f>
        <v>24432.4</v>
      </c>
      <c r="I311" s="9" t="n">
        <f aca="false">H311-$C311</f>
        <v>24432.4</v>
      </c>
      <c r="J311" s="9" t="n">
        <f aca="false">J310+I311</f>
        <v>7093305.88000003</v>
      </c>
      <c r="K311" s="37" t="str">
        <f aca="false">IF(AND(J310&lt;0,J311&gt;=0,A311&lt;=MAX(120,Premissas!$B$15*12)),(A311-1)+(-J310)/I311,"")</f>
        <v/>
      </c>
      <c r="L311" s="9" t="n">
        <f aca="false">Resultados!$E$39*$B311-Resultados!$F$39*$B311-Premissas!$B$24-Resultados!$E$39*$B311*(Premissas!$B$14/100)</f>
        <v>29837.8</v>
      </c>
      <c r="M311" s="9" t="n">
        <f aca="false">L311-$C311</f>
        <v>29837.8</v>
      </c>
      <c r="N311" s="9" t="n">
        <f aca="false">N310+M311</f>
        <v>8734925.85999997</v>
      </c>
      <c r="O311" s="37" t="str">
        <f aca="false">IF(AND(N310&lt;0,N311&gt;=0,A311&lt;=MAX(120,Premissas!$B$15*12)),(A311-1)+(-N310)/M311,"")</f>
        <v/>
      </c>
      <c r="P311" s="9" t="n">
        <f aca="false">Resultados!$B$19*$B311-Resultados!$B$20*$B311-Premissas!$B$24-Resultados!$B$19*$B311*(Premissas!$B$14/100)</f>
        <v>24432.4</v>
      </c>
      <c r="Q311" s="9" t="n">
        <f aca="false">P311-$C311</f>
        <v>24432.4</v>
      </c>
      <c r="R311" s="9" t="n">
        <f aca="false">R310+Q311</f>
        <v>7093305.88000003</v>
      </c>
      <c r="S311" s="37" t="str">
        <f aca="false">IF(AND(R310&lt;0,R311&gt;=0,A311&lt;=MAX(120,Premissas!$B$15*12)),(A311-1)+(-R310)/Q311,"")</f>
        <v/>
      </c>
    </row>
    <row r="312" customFormat="false" ht="15" hidden="false" customHeight="false" outlineLevel="0" collapsed="false">
      <c r="A312" s="10" t="n">
        <f aca="false">A311+1</f>
        <v>308</v>
      </c>
      <c r="B312" s="36" t="n">
        <f aca="false">IF(Premissas!$B$9&lt;=1,1,MIN(1,Premissas!$B$8/100+(1-Premissas!$B$8/100)*(A312-1)/(Premissas!$B$9-1)))</f>
        <v>1</v>
      </c>
      <c r="C312" s="9" t="n">
        <f aca="false">IF(A312&lt;=Resultados!$B$9,Resultados!$B$10,0)</f>
        <v>0</v>
      </c>
      <c r="D312" s="9" t="n">
        <f aca="false">Resultados!$E$37*$B312-Resultados!$F$37*$B312-Premissas!$B$24-Resultados!$E$37*$B312*(Premissas!$B$14/100)</f>
        <v>19027</v>
      </c>
      <c r="E312" s="9" t="n">
        <f aca="false">D312-$C312</f>
        <v>19027</v>
      </c>
      <c r="F312" s="9" t="n">
        <f aca="false">F311+E312</f>
        <v>5470712.9</v>
      </c>
      <c r="G312" s="37" t="str">
        <f aca="false">IF(AND(F311&lt;0,F312&gt;=0,A312&lt;=MAX(120,Premissas!$B$15*12)),(A312-1)+(-F311)/E312,"")</f>
        <v/>
      </c>
      <c r="H312" s="9" t="n">
        <f aca="false">Resultados!$E$38*$B312-Resultados!$F$38*$B312-Premissas!$B$24-Resultados!$E$38*$B312*(Premissas!$B$14/100)</f>
        <v>24432.4</v>
      </c>
      <c r="I312" s="9" t="n">
        <f aca="false">H312-$C312</f>
        <v>24432.4</v>
      </c>
      <c r="J312" s="9" t="n">
        <f aca="false">J311+I312</f>
        <v>7117738.28000003</v>
      </c>
      <c r="K312" s="37" t="str">
        <f aca="false">IF(AND(J311&lt;0,J312&gt;=0,A312&lt;=MAX(120,Premissas!$B$15*12)),(A312-1)+(-J311)/I312,"")</f>
        <v/>
      </c>
      <c r="L312" s="9" t="n">
        <f aca="false">Resultados!$E$39*$B312-Resultados!$F$39*$B312-Premissas!$B$24-Resultados!$E$39*$B312*(Premissas!$B$14/100)</f>
        <v>29837.8</v>
      </c>
      <c r="M312" s="9" t="n">
        <f aca="false">L312-$C312</f>
        <v>29837.8</v>
      </c>
      <c r="N312" s="9" t="n">
        <f aca="false">N311+M312</f>
        <v>8764763.65999997</v>
      </c>
      <c r="O312" s="37" t="str">
        <f aca="false">IF(AND(N311&lt;0,N312&gt;=0,A312&lt;=MAX(120,Premissas!$B$15*12)),(A312-1)+(-N311)/M312,"")</f>
        <v/>
      </c>
      <c r="P312" s="9" t="n">
        <f aca="false">Resultados!$B$19*$B312-Resultados!$B$20*$B312-Premissas!$B$24-Resultados!$B$19*$B312*(Premissas!$B$14/100)</f>
        <v>24432.4</v>
      </c>
      <c r="Q312" s="9" t="n">
        <f aca="false">P312-$C312</f>
        <v>24432.4</v>
      </c>
      <c r="R312" s="9" t="n">
        <f aca="false">R311+Q312</f>
        <v>7117738.28000003</v>
      </c>
      <c r="S312" s="37" t="str">
        <f aca="false">IF(AND(R311&lt;0,R312&gt;=0,A312&lt;=MAX(120,Premissas!$B$15*12)),(A312-1)+(-R311)/Q312,"")</f>
        <v/>
      </c>
    </row>
    <row r="313" customFormat="false" ht="15" hidden="false" customHeight="false" outlineLevel="0" collapsed="false">
      <c r="A313" s="10" t="n">
        <f aca="false">A312+1</f>
        <v>309</v>
      </c>
      <c r="B313" s="36" t="n">
        <f aca="false">IF(Premissas!$B$9&lt;=1,1,MIN(1,Premissas!$B$8/100+(1-Premissas!$B$8/100)*(A313-1)/(Premissas!$B$9-1)))</f>
        <v>1</v>
      </c>
      <c r="C313" s="9" t="n">
        <f aca="false">IF(A313&lt;=Resultados!$B$9,Resultados!$B$10,0)</f>
        <v>0</v>
      </c>
      <c r="D313" s="9" t="n">
        <f aca="false">Resultados!$E$37*$B313-Resultados!$F$37*$B313-Premissas!$B$24-Resultados!$E$37*$B313*(Premissas!$B$14/100)</f>
        <v>19027</v>
      </c>
      <c r="E313" s="9" t="n">
        <f aca="false">D313-$C313</f>
        <v>19027</v>
      </c>
      <c r="F313" s="9" t="n">
        <f aca="false">F312+E313</f>
        <v>5489739.9</v>
      </c>
      <c r="G313" s="37" t="str">
        <f aca="false">IF(AND(F312&lt;0,F313&gt;=0,A313&lt;=MAX(120,Premissas!$B$15*12)),(A313-1)+(-F312)/E313,"")</f>
        <v/>
      </c>
      <c r="H313" s="9" t="n">
        <f aca="false">Resultados!$E$38*$B313-Resultados!$F$38*$B313-Premissas!$B$24-Resultados!$E$38*$B313*(Premissas!$B$14/100)</f>
        <v>24432.4</v>
      </c>
      <c r="I313" s="9" t="n">
        <f aca="false">H313-$C313</f>
        <v>24432.4</v>
      </c>
      <c r="J313" s="9" t="n">
        <f aca="false">J312+I313</f>
        <v>7142170.68000003</v>
      </c>
      <c r="K313" s="37" t="str">
        <f aca="false">IF(AND(J312&lt;0,J313&gt;=0,A313&lt;=MAX(120,Premissas!$B$15*12)),(A313-1)+(-J312)/I313,"")</f>
        <v/>
      </c>
      <c r="L313" s="9" t="n">
        <f aca="false">Resultados!$E$39*$B313-Resultados!$F$39*$B313-Premissas!$B$24-Resultados!$E$39*$B313*(Premissas!$B$14/100)</f>
        <v>29837.8</v>
      </c>
      <c r="M313" s="9" t="n">
        <f aca="false">L313-$C313</f>
        <v>29837.8</v>
      </c>
      <c r="N313" s="9" t="n">
        <f aca="false">N312+M313</f>
        <v>8794601.45999997</v>
      </c>
      <c r="O313" s="37" t="str">
        <f aca="false">IF(AND(N312&lt;0,N313&gt;=0,A313&lt;=MAX(120,Premissas!$B$15*12)),(A313-1)+(-N312)/M313,"")</f>
        <v/>
      </c>
      <c r="P313" s="9" t="n">
        <f aca="false">Resultados!$B$19*$B313-Resultados!$B$20*$B313-Premissas!$B$24-Resultados!$B$19*$B313*(Premissas!$B$14/100)</f>
        <v>24432.4</v>
      </c>
      <c r="Q313" s="9" t="n">
        <f aca="false">P313-$C313</f>
        <v>24432.4</v>
      </c>
      <c r="R313" s="9" t="n">
        <f aca="false">R312+Q313</f>
        <v>7142170.68000003</v>
      </c>
      <c r="S313" s="37" t="str">
        <f aca="false">IF(AND(R312&lt;0,R313&gt;=0,A313&lt;=MAX(120,Premissas!$B$15*12)),(A313-1)+(-R312)/Q313,"")</f>
        <v/>
      </c>
    </row>
    <row r="314" customFormat="false" ht="15" hidden="false" customHeight="false" outlineLevel="0" collapsed="false">
      <c r="A314" s="10" t="n">
        <f aca="false">A313+1</f>
        <v>310</v>
      </c>
      <c r="B314" s="36" t="n">
        <f aca="false">IF(Premissas!$B$9&lt;=1,1,MIN(1,Premissas!$B$8/100+(1-Premissas!$B$8/100)*(A314-1)/(Premissas!$B$9-1)))</f>
        <v>1</v>
      </c>
      <c r="C314" s="9" t="n">
        <f aca="false">IF(A314&lt;=Resultados!$B$9,Resultados!$B$10,0)</f>
        <v>0</v>
      </c>
      <c r="D314" s="9" t="n">
        <f aca="false">Resultados!$E$37*$B314-Resultados!$F$37*$B314-Premissas!$B$24-Resultados!$E$37*$B314*(Premissas!$B$14/100)</f>
        <v>19027</v>
      </c>
      <c r="E314" s="9" t="n">
        <f aca="false">D314-$C314</f>
        <v>19027</v>
      </c>
      <c r="F314" s="9" t="n">
        <f aca="false">F313+E314</f>
        <v>5508766.9</v>
      </c>
      <c r="G314" s="37" t="str">
        <f aca="false">IF(AND(F313&lt;0,F314&gt;=0,A314&lt;=MAX(120,Premissas!$B$15*12)),(A314-1)+(-F313)/E314,"")</f>
        <v/>
      </c>
      <c r="H314" s="9" t="n">
        <f aca="false">Resultados!$E$38*$B314-Resultados!$F$38*$B314-Premissas!$B$24-Resultados!$E$38*$B314*(Premissas!$B$14/100)</f>
        <v>24432.4</v>
      </c>
      <c r="I314" s="9" t="n">
        <f aca="false">H314-$C314</f>
        <v>24432.4</v>
      </c>
      <c r="J314" s="9" t="n">
        <f aca="false">J313+I314</f>
        <v>7166603.08000003</v>
      </c>
      <c r="K314" s="37" t="str">
        <f aca="false">IF(AND(J313&lt;0,J314&gt;=0,A314&lt;=MAX(120,Premissas!$B$15*12)),(A314-1)+(-J313)/I314,"")</f>
        <v/>
      </c>
      <c r="L314" s="9" t="n">
        <f aca="false">Resultados!$E$39*$B314-Resultados!$F$39*$B314-Premissas!$B$24-Resultados!$E$39*$B314*(Premissas!$B$14/100)</f>
        <v>29837.8</v>
      </c>
      <c r="M314" s="9" t="n">
        <f aca="false">L314-$C314</f>
        <v>29837.8</v>
      </c>
      <c r="N314" s="9" t="n">
        <f aca="false">N313+M314</f>
        <v>8824439.25999997</v>
      </c>
      <c r="O314" s="37" t="str">
        <f aca="false">IF(AND(N313&lt;0,N314&gt;=0,A314&lt;=MAX(120,Premissas!$B$15*12)),(A314-1)+(-N313)/M314,"")</f>
        <v/>
      </c>
      <c r="P314" s="9" t="n">
        <f aca="false">Resultados!$B$19*$B314-Resultados!$B$20*$B314-Premissas!$B$24-Resultados!$B$19*$B314*(Premissas!$B$14/100)</f>
        <v>24432.4</v>
      </c>
      <c r="Q314" s="9" t="n">
        <f aca="false">P314-$C314</f>
        <v>24432.4</v>
      </c>
      <c r="R314" s="9" t="n">
        <f aca="false">R313+Q314</f>
        <v>7166603.08000003</v>
      </c>
      <c r="S314" s="37" t="str">
        <f aca="false">IF(AND(R313&lt;0,R314&gt;=0,A314&lt;=MAX(120,Premissas!$B$15*12)),(A314-1)+(-R313)/Q314,"")</f>
        <v/>
      </c>
    </row>
    <row r="315" customFormat="false" ht="15" hidden="false" customHeight="false" outlineLevel="0" collapsed="false">
      <c r="A315" s="10" t="n">
        <f aca="false">A314+1</f>
        <v>311</v>
      </c>
      <c r="B315" s="36" t="n">
        <f aca="false">IF(Premissas!$B$9&lt;=1,1,MIN(1,Premissas!$B$8/100+(1-Premissas!$B$8/100)*(A315-1)/(Premissas!$B$9-1)))</f>
        <v>1</v>
      </c>
      <c r="C315" s="9" t="n">
        <f aca="false">IF(A315&lt;=Resultados!$B$9,Resultados!$B$10,0)</f>
        <v>0</v>
      </c>
      <c r="D315" s="9" t="n">
        <f aca="false">Resultados!$E$37*$B315-Resultados!$F$37*$B315-Premissas!$B$24-Resultados!$E$37*$B315*(Premissas!$B$14/100)</f>
        <v>19027</v>
      </c>
      <c r="E315" s="9" t="n">
        <f aca="false">D315-$C315</f>
        <v>19027</v>
      </c>
      <c r="F315" s="9" t="n">
        <f aca="false">F314+E315</f>
        <v>5527793.9</v>
      </c>
      <c r="G315" s="37" t="str">
        <f aca="false">IF(AND(F314&lt;0,F315&gt;=0,A315&lt;=MAX(120,Premissas!$B$15*12)),(A315-1)+(-F314)/E315,"")</f>
        <v/>
      </c>
      <c r="H315" s="9" t="n">
        <f aca="false">Resultados!$E$38*$B315-Resultados!$F$38*$B315-Premissas!$B$24-Resultados!$E$38*$B315*(Premissas!$B$14/100)</f>
        <v>24432.4</v>
      </c>
      <c r="I315" s="9" t="n">
        <f aca="false">H315-$C315</f>
        <v>24432.4</v>
      </c>
      <c r="J315" s="9" t="n">
        <f aca="false">J314+I315</f>
        <v>7191035.48000004</v>
      </c>
      <c r="K315" s="37" t="str">
        <f aca="false">IF(AND(J314&lt;0,J315&gt;=0,A315&lt;=MAX(120,Premissas!$B$15*12)),(A315-1)+(-J314)/I315,"")</f>
        <v/>
      </c>
      <c r="L315" s="9" t="n">
        <f aca="false">Resultados!$E$39*$B315-Resultados!$F$39*$B315-Premissas!$B$24-Resultados!$E$39*$B315*(Premissas!$B$14/100)</f>
        <v>29837.8</v>
      </c>
      <c r="M315" s="9" t="n">
        <f aca="false">L315-$C315</f>
        <v>29837.8</v>
      </c>
      <c r="N315" s="9" t="n">
        <f aca="false">N314+M315</f>
        <v>8854277.05999997</v>
      </c>
      <c r="O315" s="37" t="str">
        <f aca="false">IF(AND(N314&lt;0,N315&gt;=0,A315&lt;=MAX(120,Premissas!$B$15*12)),(A315-1)+(-N314)/M315,"")</f>
        <v/>
      </c>
      <c r="P315" s="9" t="n">
        <f aca="false">Resultados!$B$19*$B315-Resultados!$B$20*$B315-Premissas!$B$24-Resultados!$B$19*$B315*(Premissas!$B$14/100)</f>
        <v>24432.4</v>
      </c>
      <c r="Q315" s="9" t="n">
        <f aca="false">P315-$C315</f>
        <v>24432.4</v>
      </c>
      <c r="R315" s="9" t="n">
        <f aca="false">R314+Q315</f>
        <v>7191035.48000004</v>
      </c>
      <c r="S315" s="37" t="str">
        <f aca="false">IF(AND(R314&lt;0,R315&gt;=0,A315&lt;=MAX(120,Premissas!$B$15*12)),(A315-1)+(-R314)/Q315,"")</f>
        <v/>
      </c>
    </row>
    <row r="316" customFormat="false" ht="15" hidden="false" customHeight="false" outlineLevel="0" collapsed="false">
      <c r="A316" s="10" t="n">
        <f aca="false">A315+1</f>
        <v>312</v>
      </c>
      <c r="B316" s="36" t="n">
        <f aca="false">IF(Premissas!$B$9&lt;=1,1,MIN(1,Premissas!$B$8/100+(1-Premissas!$B$8/100)*(A316-1)/(Premissas!$B$9-1)))</f>
        <v>1</v>
      </c>
      <c r="C316" s="9" t="n">
        <f aca="false">IF(A316&lt;=Resultados!$B$9,Resultados!$B$10,0)</f>
        <v>0</v>
      </c>
      <c r="D316" s="9" t="n">
        <f aca="false">Resultados!$E$37*$B316-Resultados!$F$37*$B316-Premissas!$B$24-Resultados!$E$37*$B316*(Premissas!$B$14/100)</f>
        <v>19027</v>
      </c>
      <c r="E316" s="9" t="n">
        <f aca="false">D316-$C316</f>
        <v>19027</v>
      </c>
      <c r="F316" s="9" t="n">
        <f aca="false">F315+E316</f>
        <v>5546820.9</v>
      </c>
      <c r="G316" s="37" t="str">
        <f aca="false">IF(AND(F315&lt;0,F316&gt;=0,A316&lt;=MAX(120,Premissas!$B$15*12)),(A316-1)+(-F315)/E316,"")</f>
        <v/>
      </c>
      <c r="H316" s="9" t="n">
        <f aca="false">Resultados!$E$38*$B316-Resultados!$F$38*$B316-Premissas!$B$24-Resultados!$E$38*$B316*(Premissas!$B$14/100)</f>
        <v>24432.4</v>
      </c>
      <c r="I316" s="9" t="n">
        <f aca="false">H316-$C316</f>
        <v>24432.4</v>
      </c>
      <c r="J316" s="9" t="n">
        <f aca="false">J315+I316</f>
        <v>7215467.88000004</v>
      </c>
      <c r="K316" s="37" t="str">
        <f aca="false">IF(AND(J315&lt;0,J316&gt;=0,A316&lt;=MAX(120,Premissas!$B$15*12)),(A316-1)+(-J315)/I316,"")</f>
        <v/>
      </c>
      <c r="L316" s="9" t="n">
        <f aca="false">Resultados!$E$39*$B316-Resultados!$F$39*$B316-Premissas!$B$24-Resultados!$E$39*$B316*(Premissas!$B$14/100)</f>
        <v>29837.8</v>
      </c>
      <c r="M316" s="9" t="n">
        <f aca="false">L316-$C316</f>
        <v>29837.8</v>
      </c>
      <c r="N316" s="9" t="n">
        <f aca="false">N315+M316</f>
        <v>8884114.85999998</v>
      </c>
      <c r="O316" s="37" t="str">
        <f aca="false">IF(AND(N315&lt;0,N316&gt;=0,A316&lt;=MAX(120,Premissas!$B$15*12)),(A316-1)+(-N315)/M316,"")</f>
        <v/>
      </c>
      <c r="P316" s="9" t="n">
        <f aca="false">Resultados!$B$19*$B316-Resultados!$B$20*$B316-Premissas!$B$24-Resultados!$B$19*$B316*(Premissas!$B$14/100)</f>
        <v>24432.4</v>
      </c>
      <c r="Q316" s="9" t="n">
        <f aca="false">P316-$C316</f>
        <v>24432.4</v>
      </c>
      <c r="R316" s="9" t="n">
        <f aca="false">R315+Q316</f>
        <v>7215467.88000004</v>
      </c>
      <c r="S316" s="37" t="str">
        <f aca="false">IF(AND(R315&lt;0,R316&gt;=0,A316&lt;=MAX(120,Premissas!$B$15*12)),(A316-1)+(-R315)/Q316,"")</f>
        <v/>
      </c>
    </row>
    <row r="317" customFormat="false" ht="15" hidden="false" customHeight="false" outlineLevel="0" collapsed="false">
      <c r="A317" s="10" t="n">
        <f aca="false">A316+1</f>
        <v>313</v>
      </c>
      <c r="B317" s="36" t="n">
        <f aca="false">IF(Premissas!$B$9&lt;=1,1,MIN(1,Premissas!$B$8/100+(1-Premissas!$B$8/100)*(A317-1)/(Premissas!$B$9-1)))</f>
        <v>1</v>
      </c>
      <c r="C317" s="9" t="n">
        <f aca="false">IF(A317&lt;=Resultados!$B$9,Resultados!$B$10,0)</f>
        <v>0</v>
      </c>
      <c r="D317" s="9" t="n">
        <f aca="false">Resultados!$E$37*$B317-Resultados!$F$37*$B317-Premissas!$B$24-Resultados!$E$37*$B317*(Premissas!$B$14/100)</f>
        <v>19027</v>
      </c>
      <c r="E317" s="9" t="n">
        <f aca="false">D317-$C317</f>
        <v>19027</v>
      </c>
      <c r="F317" s="9" t="n">
        <f aca="false">F316+E317</f>
        <v>5565847.9</v>
      </c>
      <c r="G317" s="37" t="str">
        <f aca="false">IF(AND(F316&lt;0,F317&gt;=0,A317&lt;=MAX(120,Premissas!$B$15*12)),(A317-1)+(-F316)/E317,"")</f>
        <v/>
      </c>
      <c r="H317" s="9" t="n">
        <f aca="false">Resultados!$E$38*$B317-Resultados!$F$38*$B317-Premissas!$B$24-Resultados!$E$38*$B317*(Premissas!$B$14/100)</f>
        <v>24432.4</v>
      </c>
      <c r="I317" s="9" t="n">
        <f aca="false">H317-$C317</f>
        <v>24432.4</v>
      </c>
      <c r="J317" s="9" t="n">
        <f aca="false">J316+I317</f>
        <v>7239900.28000004</v>
      </c>
      <c r="K317" s="37" t="str">
        <f aca="false">IF(AND(J316&lt;0,J317&gt;=0,A317&lt;=MAX(120,Premissas!$B$15*12)),(A317-1)+(-J316)/I317,"")</f>
        <v/>
      </c>
      <c r="L317" s="9" t="n">
        <f aca="false">Resultados!$E$39*$B317-Resultados!$F$39*$B317-Premissas!$B$24-Resultados!$E$39*$B317*(Premissas!$B$14/100)</f>
        <v>29837.8</v>
      </c>
      <c r="M317" s="9" t="n">
        <f aca="false">L317-$C317</f>
        <v>29837.8</v>
      </c>
      <c r="N317" s="9" t="n">
        <f aca="false">N316+M317</f>
        <v>8913952.65999998</v>
      </c>
      <c r="O317" s="37" t="str">
        <f aca="false">IF(AND(N316&lt;0,N317&gt;=0,A317&lt;=MAX(120,Premissas!$B$15*12)),(A317-1)+(-N316)/M317,"")</f>
        <v/>
      </c>
      <c r="P317" s="9" t="n">
        <f aca="false">Resultados!$B$19*$B317-Resultados!$B$20*$B317-Premissas!$B$24-Resultados!$B$19*$B317*(Premissas!$B$14/100)</f>
        <v>24432.4</v>
      </c>
      <c r="Q317" s="9" t="n">
        <f aca="false">P317-$C317</f>
        <v>24432.4</v>
      </c>
      <c r="R317" s="9" t="n">
        <f aca="false">R316+Q317</f>
        <v>7239900.28000004</v>
      </c>
      <c r="S317" s="37" t="str">
        <f aca="false">IF(AND(R316&lt;0,R317&gt;=0,A317&lt;=MAX(120,Premissas!$B$15*12)),(A317-1)+(-R316)/Q317,"")</f>
        <v/>
      </c>
    </row>
    <row r="318" customFormat="false" ht="15" hidden="false" customHeight="false" outlineLevel="0" collapsed="false">
      <c r="A318" s="10" t="n">
        <f aca="false">A317+1</f>
        <v>314</v>
      </c>
      <c r="B318" s="36" t="n">
        <f aca="false">IF(Premissas!$B$9&lt;=1,1,MIN(1,Premissas!$B$8/100+(1-Premissas!$B$8/100)*(A318-1)/(Premissas!$B$9-1)))</f>
        <v>1</v>
      </c>
      <c r="C318" s="9" t="n">
        <f aca="false">IF(A318&lt;=Resultados!$B$9,Resultados!$B$10,0)</f>
        <v>0</v>
      </c>
      <c r="D318" s="9" t="n">
        <f aca="false">Resultados!$E$37*$B318-Resultados!$F$37*$B318-Premissas!$B$24-Resultados!$E$37*$B318*(Premissas!$B$14/100)</f>
        <v>19027</v>
      </c>
      <c r="E318" s="9" t="n">
        <f aca="false">D318-$C318</f>
        <v>19027</v>
      </c>
      <c r="F318" s="9" t="n">
        <f aca="false">F317+E318</f>
        <v>5584874.9</v>
      </c>
      <c r="G318" s="37" t="str">
        <f aca="false">IF(AND(F317&lt;0,F318&gt;=0,A318&lt;=MAX(120,Premissas!$B$15*12)),(A318-1)+(-F317)/E318,"")</f>
        <v/>
      </c>
      <c r="H318" s="9" t="n">
        <f aca="false">Resultados!$E$38*$B318-Resultados!$F$38*$B318-Premissas!$B$24-Resultados!$E$38*$B318*(Premissas!$B$14/100)</f>
        <v>24432.4</v>
      </c>
      <c r="I318" s="9" t="n">
        <f aca="false">H318-$C318</f>
        <v>24432.4</v>
      </c>
      <c r="J318" s="9" t="n">
        <f aca="false">J317+I318</f>
        <v>7264332.68000004</v>
      </c>
      <c r="K318" s="37" t="str">
        <f aca="false">IF(AND(J317&lt;0,J318&gt;=0,A318&lt;=MAX(120,Premissas!$B$15*12)),(A318-1)+(-J317)/I318,"")</f>
        <v/>
      </c>
      <c r="L318" s="9" t="n">
        <f aca="false">Resultados!$E$39*$B318-Resultados!$F$39*$B318-Premissas!$B$24-Resultados!$E$39*$B318*(Premissas!$B$14/100)</f>
        <v>29837.8</v>
      </c>
      <c r="M318" s="9" t="n">
        <f aca="false">L318-$C318</f>
        <v>29837.8</v>
      </c>
      <c r="N318" s="9" t="n">
        <f aca="false">N317+M318</f>
        <v>8943790.45999998</v>
      </c>
      <c r="O318" s="37" t="str">
        <f aca="false">IF(AND(N317&lt;0,N318&gt;=0,A318&lt;=MAX(120,Premissas!$B$15*12)),(A318-1)+(-N317)/M318,"")</f>
        <v/>
      </c>
      <c r="P318" s="9" t="n">
        <f aca="false">Resultados!$B$19*$B318-Resultados!$B$20*$B318-Premissas!$B$24-Resultados!$B$19*$B318*(Premissas!$B$14/100)</f>
        <v>24432.4</v>
      </c>
      <c r="Q318" s="9" t="n">
        <f aca="false">P318-$C318</f>
        <v>24432.4</v>
      </c>
      <c r="R318" s="9" t="n">
        <f aca="false">R317+Q318</f>
        <v>7264332.68000004</v>
      </c>
      <c r="S318" s="37" t="str">
        <f aca="false">IF(AND(R317&lt;0,R318&gt;=0,A318&lt;=MAX(120,Premissas!$B$15*12)),(A318-1)+(-R317)/Q318,"")</f>
        <v/>
      </c>
    </row>
    <row r="319" customFormat="false" ht="15" hidden="false" customHeight="false" outlineLevel="0" collapsed="false">
      <c r="A319" s="10" t="n">
        <f aca="false">A318+1</f>
        <v>315</v>
      </c>
      <c r="B319" s="36" t="n">
        <f aca="false">IF(Premissas!$B$9&lt;=1,1,MIN(1,Premissas!$B$8/100+(1-Premissas!$B$8/100)*(A319-1)/(Premissas!$B$9-1)))</f>
        <v>1</v>
      </c>
      <c r="C319" s="9" t="n">
        <f aca="false">IF(A319&lt;=Resultados!$B$9,Resultados!$B$10,0)</f>
        <v>0</v>
      </c>
      <c r="D319" s="9" t="n">
        <f aca="false">Resultados!$E$37*$B319-Resultados!$F$37*$B319-Premissas!$B$24-Resultados!$E$37*$B319*(Premissas!$B$14/100)</f>
        <v>19027</v>
      </c>
      <c r="E319" s="9" t="n">
        <f aca="false">D319-$C319</f>
        <v>19027</v>
      </c>
      <c r="F319" s="9" t="n">
        <f aca="false">F318+E319</f>
        <v>5603901.9</v>
      </c>
      <c r="G319" s="37" t="str">
        <f aca="false">IF(AND(F318&lt;0,F319&gt;=0,A319&lt;=MAX(120,Premissas!$B$15*12)),(A319-1)+(-F318)/E319,"")</f>
        <v/>
      </c>
      <c r="H319" s="9" t="n">
        <f aca="false">Resultados!$E$38*$B319-Resultados!$F$38*$B319-Premissas!$B$24-Resultados!$E$38*$B319*(Premissas!$B$14/100)</f>
        <v>24432.4</v>
      </c>
      <c r="I319" s="9" t="n">
        <f aca="false">H319-$C319</f>
        <v>24432.4</v>
      </c>
      <c r="J319" s="9" t="n">
        <f aca="false">J318+I319</f>
        <v>7288765.08000004</v>
      </c>
      <c r="K319" s="37" t="str">
        <f aca="false">IF(AND(J318&lt;0,J319&gt;=0,A319&lt;=MAX(120,Premissas!$B$15*12)),(A319-1)+(-J318)/I319,"")</f>
        <v/>
      </c>
      <c r="L319" s="9" t="n">
        <f aca="false">Resultados!$E$39*$B319-Resultados!$F$39*$B319-Premissas!$B$24-Resultados!$E$39*$B319*(Premissas!$B$14/100)</f>
        <v>29837.8</v>
      </c>
      <c r="M319" s="9" t="n">
        <f aca="false">L319-$C319</f>
        <v>29837.8</v>
      </c>
      <c r="N319" s="9" t="n">
        <f aca="false">N318+M319</f>
        <v>8973628.25999998</v>
      </c>
      <c r="O319" s="37" t="str">
        <f aca="false">IF(AND(N318&lt;0,N319&gt;=0,A319&lt;=MAX(120,Premissas!$B$15*12)),(A319-1)+(-N318)/M319,"")</f>
        <v/>
      </c>
      <c r="P319" s="9" t="n">
        <f aca="false">Resultados!$B$19*$B319-Resultados!$B$20*$B319-Premissas!$B$24-Resultados!$B$19*$B319*(Premissas!$B$14/100)</f>
        <v>24432.4</v>
      </c>
      <c r="Q319" s="9" t="n">
        <f aca="false">P319-$C319</f>
        <v>24432.4</v>
      </c>
      <c r="R319" s="9" t="n">
        <f aca="false">R318+Q319</f>
        <v>7288765.08000004</v>
      </c>
      <c r="S319" s="37" t="str">
        <f aca="false">IF(AND(R318&lt;0,R319&gt;=0,A319&lt;=MAX(120,Premissas!$B$15*12)),(A319-1)+(-R318)/Q319,"")</f>
        <v/>
      </c>
    </row>
    <row r="320" customFormat="false" ht="15" hidden="false" customHeight="false" outlineLevel="0" collapsed="false">
      <c r="A320" s="10" t="n">
        <f aca="false">A319+1</f>
        <v>316</v>
      </c>
      <c r="B320" s="36" t="n">
        <f aca="false">IF(Premissas!$B$9&lt;=1,1,MIN(1,Premissas!$B$8/100+(1-Premissas!$B$8/100)*(A320-1)/(Premissas!$B$9-1)))</f>
        <v>1</v>
      </c>
      <c r="C320" s="9" t="n">
        <f aca="false">IF(A320&lt;=Resultados!$B$9,Resultados!$B$10,0)</f>
        <v>0</v>
      </c>
      <c r="D320" s="9" t="n">
        <f aca="false">Resultados!$E$37*$B320-Resultados!$F$37*$B320-Premissas!$B$24-Resultados!$E$37*$B320*(Premissas!$B$14/100)</f>
        <v>19027</v>
      </c>
      <c r="E320" s="9" t="n">
        <f aca="false">D320-$C320</f>
        <v>19027</v>
      </c>
      <c r="F320" s="9" t="n">
        <f aca="false">F319+E320</f>
        <v>5622928.9</v>
      </c>
      <c r="G320" s="37" t="str">
        <f aca="false">IF(AND(F319&lt;0,F320&gt;=0,A320&lt;=MAX(120,Premissas!$B$15*12)),(A320-1)+(-F319)/E320,"")</f>
        <v/>
      </c>
      <c r="H320" s="9" t="n">
        <f aca="false">Resultados!$E$38*$B320-Resultados!$F$38*$B320-Premissas!$B$24-Resultados!$E$38*$B320*(Premissas!$B$14/100)</f>
        <v>24432.4</v>
      </c>
      <c r="I320" s="9" t="n">
        <f aca="false">H320-$C320</f>
        <v>24432.4</v>
      </c>
      <c r="J320" s="9" t="n">
        <f aca="false">J319+I320</f>
        <v>7313197.48000004</v>
      </c>
      <c r="K320" s="37" t="str">
        <f aca="false">IF(AND(J319&lt;0,J320&gt;=0,A320&lt;=MAX(120,Premissas!$B$15*12)),(A320-1)+(-J319)/I320,"")</f>
        <v/>
      </c>
      <c r="L320" s="9" t="n">
        <f aca="false">Resultados!$E$39*$B320-Resultados!$F$39*$B320-Premissas!$B$24-Resultados!$E$39*$B320*(Premissas!$B$14/100)</f>
        <v>29837.8</v>
      </c>
      <c r="M320" s="9" t="n">
        <f aca="false">L320-$C320</f>
        <v>29837.8</v>
      </c>
      <c r="N320" s="9" t="n">
        <f aca="false">N319+M320</f>
        <v>9003466.05999998</v>
      </c>
      <c r="O320" s="37" t="str">
        <f aca="false">IF(AND(N319&lt;0,N320&gt;=0,A320&lt;=MAX(120,Premissas!$B$15*12)),(A320-1)+(-N319)/M320,"")</f>
        <v/>
      </c>
      <c r="P320" s="9" t="n">
        <f aca="false">Resultados!$B$19*$B320-Resultados!$B$20*$B320-Premissas!$B$24-Resultados!$B$19*$B320*(Premissas!$B$14/100)</f>
        <v>24432.4</v>
      </c>
      <c r="Q320" s="9" t="n">
        <f aca="false">P320-$C320</f>
        <v>24432.4</v>
      </c>
      <c r="R320" s="9" t="n">
        <f aca="false">R319+Q320</f>
        <v>7313197.48000004</v>
      </c>
      <c r="S320" s="37" t="str">
        <f aca="false">IF(AND(R319&lt;0,R320&gt;=0,A320&lt;=MAX(120,Premissas!$B$15*12)),(A320-1)+(-R319)/Q320,"")</f>
        <v/>
      </c>
    </row>
    <row r="321" customFormat="false" ht="15" hidden="false" customHeight="false" outlineLevel="0" collapsed="false">
      <c r="A321" s="10" t="n">
        <f aca="false">A320+1</f>
        <v>317</v>
      </c>
      <c r="B321" s="36" t="n">
        <f aca="false">IF(Premissas!$B$9&lt;=1,1,MIN(1,Premissas!$B$8/100+(1-Premissas!$B$8/100)*(A321-1)/(Premissas!$B$9-1)))</f>
        <v>1</v>
      </c>
      <c r="C321" s="9" t="n">
        <f aca="false">IF(A321&lt;=Resultados!$B$9,Resultados!$B$10,0)</f>
        <v>0</v>
      </c>
      <c r="D321" s="9" t="n">
        <f aca="false">Resultados!$E$37*$B321-Resultados!$F$37*$B321-Premissas!$B$24-Resultados!$E$37*$B321*(Premissas!$B$14/100)</f>
        <v>19027</v>
      </c>
      <c r="E321" s="9" t="n">
        <f aca="false">D321-$C321</f>
        <v>19027</v>
      </c>
      <c r="F321" s="9" t="n">
        <f aca="false">F320+E321</f>
        <v>5641955.9</v>
      </c>
      <c r="G321" s="37" t="str">
        <f aca="false">IF(AND(F320&lt;0,F321&gt;=0,A321&lt;=MAX(120,Premissas!$B$15*12)),(A321-1)+(-F320)/E321,"")</f>
        <v/>
      </c>
      <c r="H321" s="9" t="n">
        <f aca="false">Resultados!$E$38*$B321-Resultados!$F$38*$B321-Premissas!$B$24-Resultados!$E$38*$B321*(Premissas!$B$14/100)</f>
        <v>24432.4</v>
      </c>
      <c r="I321" s="9" t="n">
        <f aca="false">H321-$C321</f>
        <v>24432.4</v>
      </c>
      <c r="J321" s="9" t="n">
        <f aca="false">J320+I321</f>
        <v>7337629.88000004</v>
      </c>
      <c r="K321" s="37" t="str">
        <f aca="false">IF(AND(J320&lt;0,J321&gt;=0,A321&lt;=MAX(120,Premissas!$B$15*12)),(A321-1)+(-J320)/I321,"")</f>
        <v/>
      </c>
      <c r="L321" s="9" t="n">
        <f aca="false">Resultados!$E$39*$B321-Resultados!$F$39*$B321-Premissas!$B$24-Resultados!$E$39*$B321*(Premissas!$B$14/100)</f>
        <v>29837.8</v>
      </c>
      <c r="M321" s="9" t="n">
        <f aca="false">L321-$C321</f>
        <v>29837.8</v>
      </c>
      <c r="N321" s="9" t="n">
        <f aca="false">N320+M321</f>
        <v>9033303.85999998</v>
      </c>
      <c r="O321" s="37" t="str">
        <f aca="false">IF(AND(N320&lt;0,N321&gt;=0,A321&lt;=MAX(120,Premissas!$B$15*12)),(A321-1)+(-N320)/M321,"")</f>
        <v/>
      </c>
      <c r="P321" s="9" t="n">
        <f aca="false">Resultados!$B$19*$B321-Resultados!$B$20*$B321-Premissas!$B$24-Resultados!$B$19*$B321*(Premissas!$B$14/100)</f>
        <v>24432.4</v>
      </c>
      <c r="Q321" s="9" t="n">
        <f aca="false">P321-$C321</f>
        <v>24432.4</v>
      </c>
      <c r="R321" s="9" t="n">
        <f aca="false">R320+Q321</f>
        <v>7337629.88000004</v>
      </c>
      <c r="S321" s="37" t="str">
        <f aca="false">IF(AND(R320&lt;0,R321&gt;=0,A321&lt;=MAX(120,Premissas!$B$15*12)),(A321-1)+(-R320)/Q321,"")</f>
        <v/>
      </c>
    </row>
    <row r="322" customFormat="false" ht="15" hidden="false" customHeight="false" outlineLevel="0" collapsed="false">
      <c r="A322" s="10" t="n">
        <f aca="false">A321+1</f>
        <v>318</v>
      </c>
      <c r="B322" s="36" t="n">
        <f aca="false">IF(Premissas!$B$9&lt;=1,1,MIN(1,Premissas!$B$8/100+(1-Premissas!$B$8/100)*(A322-1)/(Premissas!$B$9-1)))</f>
        <v>1</v>
      </c>
      <c r="C322" s="9" t="n">
        <f aca="false">IF(A322&lt;=Resultados!$B$9,Resultados!$B$10,0)</f>
        <v>0</v>
      </c>
      <c r="D322" s="9" t="n">
        <f aca="false">Resultados!$E$37*$B322-Resultados!$F$37*$B322-Premissas!$B$24-Resultados!$E$37*$B322*(Premissas!$B$14/100)</f>
        <v>19027</v>
      </c>
      <c r="E322" s="9" t="n">
        <f aca="false">D322-$C322</f>
        <v>19027</v>
      </c>
      <c r="F322" s="9" t="n">
        <f aca="false">F321+E322</f>
        <v>5660982.9</v>
      </c>
      <c r="G322" s="37" t="str">
        <f aca="false">IF(AND(F321&lt;0,F322&gt;=0,A322&lt;=MAX(120,Premissas!$B$15*12)),(A322-1)+(-F321)/E322,"")</f>
        <v/>
      </c>
      <c r="H322" s="9" t="n">
        <f aca="false">Resultados!$E$38*$B322-Resultados!$F$38*$B322-Premissas!$B$24-Resultados!$E$38*$B322*(Premissas!$B$14/100)</f>
        <v>24432.4</v>
      </c>
      <c r="I322" s="9" t="n">
        <f aca="false">H322-$C322</f>
        <v>24432.4</v>
      </c>
      <c r="J322" s="9" t="n">
        <f aca="false">J321+I322</f>
        <v>7362062.28000004</v>
      </c>
      <c r="K322" s="37" t="str">
        <f aca="false">IF(AND(J321&lt;0,J322&gt;=0,A322&lt;=MAX(120,Premissas!$B$15*12)),(A322-1)+(-J321)/I322,"")</f>
        <v/>
      </c>
      <c r="L322" s="9" t="n">
        <f aca="false">Resultados!$E$39*$B322-Resultados!$F$39*$B322-Premissas!$B$24-Resultados!$E$39*$B322*(Premissas!$B$14/100)</f>
        <v>29837.8</v>
      </c>
      <c r="M322" s="9" t="n">
        <f aca="false">L322-$C322</f>
        <v>29837.8</v>
      </c>
      <c r="N322" s="9" t="n">
        <f aca="false">N321+M322</f>
        <v>9063141.65999998</v>
      </c>
      <c r="O322" s="37" t="str">
        <f aca="false">IF(AND(N321&lt;0,N322&gt;=0,A322&lt;=MAX(120,Premissas!$B$15*12)),(A322-1)+(-N321)/M322,"")</f>
        <v/>
      </c>
      <c r="P322" s="9" t="n">
        <f aca="false">Resultados!$B$19*$B322-Resultados!$B$20*$B322-Premissas!$B$24-Resultados!$B$19*$B322*(Premissas!$B$14/100)</f>
        <v>24432.4</v>
      </c>
      <c r="Q322" s="9" t="n">
        <f aca="false">P322-$C322</f>
        <v>24432.4</v>
      </c>
      <c r="R322" s="9" t="n">
        <f aca="false">R321+Q322</f>
        <v>7362062.28000004</v>
      </c>
      <c r="S322" s="37" t="str">
        <f aca="false">IF(AND(R321&lt;0,R322&gt;=0,A322&lt;=MAX(120,Premissas!$B$15*12)),(A322-1)+(-R321)/Q322,"")</f>
        <v/>
      </c>
    </row>
    <row r="323" customFormat="false" ht="15" hidden="false" customHeight="false" outlineLevel="0" collapsed="false">
      <c r="A323" s="10" t="n">
        <f aca="false">A322+1</f>
        <v>319</v>
      </c>
      <c r="B323" s="36" t="n">
        <f aca="false">IF(Premissas!$B$9&lt;=1,1,MIN(1,Premissas!$B$8/100+(1-Premissas!$B$8/100)*(A323-1)/(Premissas!$B$9-1)))</f>
        <v>1</v>
      </c>
      <c r="C323" s="9" t="n">
        <f aca="false">IF(A323&lt;=Resultados!$B$9,Resultados!$B$10,0)</f>
        <v>0</v>
      </c>
      <c r="D323" s="9" t="n">
        <f aca="false">Resultados!$E$37*$B323-Resultados!$F$37*$B323-Premissas!$B$24-Resultados!$E$37*$B323*(Premissas!$B$14/100)</f>
        <v>19027</v>
      </c>
      <c r="E323" s="9" t="n">
        <f aca="false">D323-$C323</f>
        <v>19027</v>
      </c>
      <c r="F323" s="9" t="n">
        <f aca="false">F322+E323</f>
        <v>5680009.9</v>
      </c>
      <c r="G323" s="37" t="str">
        <f aca="false">IF(AND(F322&lt;0,F323&gt;=0,A323&lt;=MAX(120,Premissas!$B$15*12)),(A323-1)+(-F322)/E323,"")</f>
        <v/>
      </c>
      <c r="H323" s="9" t="n">
        <f aca="false">Resultados!$E$38*$B323-Resultados!$F$38*$B323-Premissas!$B$24-Resultados!$E$38*$B323*(Premissas!$B$14/100)</f>
        <v>24432.4</v>
      </c>
      <c r="I323" s="9" t="n">
        <f aca="false">H323-$C323</f>
        <v>24432.4</v>
      </c>
      <c r="J323" s="9" t="n">
        <f aca="false">J322+I323</f>
        <v>7386494.68000004</v>
      </c>
      <c r="K323" s="37" t="str">
        <f aca="false">IF(AND(J322&lt;0,J323&gt;=0,A323&lt;=MAX(120,Premissas!$B$15*12)),(A323-1)+(-J322)/I323,"")</f>
        <v/>
      </c>
      <c r="L323" s="9" t="n">
        <f aca="false">Resultados!$E$39*$B323-Resultados!$F$39*$B323-Premissas!$B$24-Resultados!$E$39*$B323*(Premissas!$B$14/100)</f>
        <v>29837.8</v>
      </c>
      <c r="M323" s="9" t="n">
        <f aca="false">L323-$C323</f>
        <v>29837.8</v>
      </c>
      <c r="N323" s="9" t="n">
        <f aca="false">N322+M323</f>
        <v>9092979.45999998</v>
      </c>
      <c r="O323" s="37" t="str">
        <f aca="false">IF(AND(N322&lt;0,N323&gt;=0,A323&lt;=MAX(120,Premissas!$B$15*12)),(A323-1)+(-N322)/M323,"")</f>
        <v/>
      </c>
      <c r="P323" s="9" t="n">
        <f aca="false">Resultados!$B$19*$B323-Resultados!$B$20*$B323-Premissas!$B$24-Resultados!$B$19*$B323*(Premissas!$B$14/100)</f>
        <v>24432.4</v>
      </c>
      <c r="Q323" s="9" t="n">
        <f aca="false">P323-$C323</f>
        <v>24432.4</v>
      </c>
      <c r="R323" s="9" t="n">
        <f aca="false">R322+Q323</f>
        <v>7386494.68000004</v>
      </c>
      <c r="S323" s="37" t="str">
        <f aca="false">IF(AND(R322&lt;0,R323&gt;=0,A323&lt;=MAX(120,Premissas!$B$15*12)),(A323-1)+(-R322)/Q323,"")</f>
        <v/>
      </c>
    </row>
    <row r="324" customFormat="false" ht="15" hidden="false" customHeight="false" outlineLevel="0" collapsed="false">
      <c r="A324" s="10" t="n">
        <f aca="false">A323+1</f>
        <v>320</v>
      </c>
      <c r="B324" s="36" t="n">
        <f aca="false">IF(Premissas!$B$9&lt;=1,1,MIN(1,Premissas!$B$8/100+(1-Premissas!$B$8/100)*(A324-1)/(Premissas!$B$9-1)))</f>
        <v>1</v>
      </c>
      <c r="C324" s="9" t="n">
        <f aca="false">IF(A324&lt;=Resultados!$B$9,Resultados!$B$10,0)</f>
        <v>0</v>
      </c>
      <c r="D324" s="9" t="n">
        <f aca="false">Resultados!$E$37*$B324-Resultados!$F$37*$B324-Premissas!$B$24-Resultados!$E$37*$B324*(Premissas!$B$14/100)</f>
        <v>19027</v>
      </c>
      <c r="E324" s="9" t="n">
        <f aca="false">D324-$C324</f>
        <v>19027</v>
      </c>
      <c r="F324" s="9" t="n">
        <f aca="false">F323+E324</f>
        <v>5699036.9</v>
      </c>
      <c r="G324" s="37" t="str">
        <f aca="false">IF(AND(F323&lt;0,F324&gt;=0,A324&lt;=MAX(120,Premissas!$B$15*12)),(A324-1)+(-F323)/E324,"")</f>
        <v/>
      </c>
      <c r="H324" s="9" t="n">
        <f aca="false">Resultados!$E$38*$B324-Resultados!$F$38*$B324-Premissas!$B$24-Resultados!$E$38*$B324*(Premissas!$B$14/100)</f>
        <v>24432.4</v>
      </c>
      <c r="I324" s="9" t="n">
        <f aca="false">H324-$C324</f>
        <v>24432.4</v>
      </c>
      <c r="J324" s="9" t="n">
        <f aca="false">J323+I324</f>
        <v>7410927.08000004</v>
      </c>
      <c r="K324" s="37" t="str">
        <f aca="false">IF(AND(J323&lt;0,J324&gt;=0,A324&lt;=MAX(120,Premissas!$B$15*12)),(A324-1)+(-J323)/I324,"")</f>
        <v/>
      </c>
      <c r="L324" s="9" t="n">
        <f aca="false">Resultados!$E$39*$B324-Resultados!$F$39*$B324-Premissas!$B$24-Resultados!$E$39*$B324*(Premissas!$B$14/100)</f>
        <v>29837.8</v>
      </c>
      <c r="M324" s="9" t="n">
        <f aca="false">L324-$C324</f>
        <v>29837.8</v>
      </c>
      <c r="N324" s="9" t="n">
        <f aca="false">N323+M324</f>
        <v>9122817.25999998</v>
      </c>
      <c r="O324" s="37" t="str">
        <f aca="false">IF(AND(N323&lt;0,N324&gt;=0,A324&lt;=MAX(120,Premissas!$B$15*12)),(A324-1)+(-N323)/M324,"")</f>
        <v/>
      </c>
      <c r="P324" s="9" t="n">
        <f aca="false">Resultados!$B$19*$B324-Resultados!$B$20*$B324-Premissas!$B$24-Resultados!$B$19*$B324*(Premissas!$B$14/100)</f>
        <v>24432.4</v>
      </c>
      <c r="Q324" s="9" t="n">
        <f aca="false">P324-$C324</f>
        <v>24432.4</v>
      </c>
      <c r="R324" s="9" t="n">
        <f aca="false">R323+Q324</f>
        <v>7410927.08000004</v>
      </c>
      <c r="S324" s="37" t="str">
        <f aca="false">IF(AND(R323&lt;0,R324&gt;=0,A324&lt;=MAX(120,Premissas!$B$15*12)),(A324-1)+(-R323)/Q324,"")</f>
        <v/>
      </c>
    </row>
    <row r="325" customFormat="false" ht="15" hidden="false" customHeight="false" outlineLevel="0" collapsed="false">
      <c r="A325" s="10" t="n">
        <f aca="false">A324+1</f>
        <v>321</v>
      </c>
      <c r="B325" s="36" t="n">
        <f aca="false">IF(Premissas!$B$9&lt;=1,1,MIN(1,Premissas!$B$8/100+(1-Premissas!$B$8/100)*(A325-1)/(Premissas!$B$9-1)))</f>
        <v>1</v>
      </c>
      <c r="C325" s="9" t="n">
        <f aca="false">IF(A325&lt;=Resultados!$B$9,Resultados!$B$10,0)</f>
        <v>0</v>
      </c>
      <c r="D325" s="9" t="n">
        <f aca="false">Resultados!$E$37*$B325-Resultados!$F$37*$B325-Premissas!$B$24-Resultados!$E$37*$B325*(Premissas!$B$14/100)</f>
        <v>19027</v>
      </c>
      <c r="E325" s="9" t="n">
        <f aca="false">D325-$C325</f>
        <v>19027</v>
      </c>
      <c r="F325" s="9" t="n">
        <f aca="false">F324+E325</f>
        <v>5718063.9</v>
      </c>
      <c r="G325" s="37" t="str">
        <f aca="false">IF(AND(F324&lt;0,F325&gt;=0,A325&lt;=MAX(120,Premissas!$B$15*12)),(A325-1)+(-F324)/E325,"")</f>
        <v/>
      </c>
      <c r="H325" s="9" t="n">
        <f aca="false">Resultados!$E$38*$B325-Resultados!$F$38*$B325-Premissas!$B$24-Resultados!$E$38*$B325*(Premissas!$B$14/100)</f>
        <v>24432.4</v>
      </c>
      <c r="I325" s="9" t="n">
        <f aca="false">H325-$C325</f>
        <v>24432.4</v>
      </c>
      <c r="J325" s="9" t="n">
        <f aca="false">J324+I325</f>
        <v>7435359.48000004</v>
      </c>
      <c r="K325" s="37" t="str">
        <f aca="false">IF(AND(J324&lt;0,J325&gt;=0,A325&lt;=MAX(120,Premissas!$B$15*12)),(A325-1)+(-J324)/I325,"")</f>
        <v/>
      </c>
      <c r="L325" s="9" t="n">
        <f aca="false">Resultados!$E$39*$B325-Resultados!$F$39*$B325-Premissas!$B$24-Resultados!$E$39*$B325*(Premissas!$B$14/100)</f>
        <v>29837.8</v>
      </c>
      <c r="M325" s="9" t="n">
        <f aca="false">L325-$C325</f>
        <v>29837.8</v>
      </c>
      <c r="N325" s="9" t="n">
        <f aca="false">N324+M325</f>
        <v>9152655.05999998</v>
      </c>
      <c r="O325" s="37" t="str">
        <f aca="false">IF(AND(N324&lt;0,N325&gt;=0,A325&lt;=MAX(120,Premissas!$B$15*12)),(A325-1)+(-N324)/M325,"")</f>
        <v/>
      </c>
      <c r="P325" s="9" t="n">
        <f aca="false">Resultados!$B$19*$B325-Resultados!$B$20*$B325-Premissas!$B$24-Resultados!$B$19*$B325*(Premissas!$B$14/100)</f>
        <v>24432.4</v>
      </c>
      <c r="Q325" s="9" t="n">
        <f aca="false">P325-$C325</f>
        <v>24432.4</v>
      </c>
      <c r="R325" s="9" t="n">
        <f aca="false">R324+Q325</f>
        <v>7435359.48000004</v>
      </c>
      <c r="S325" s="37" t="str">
        <f aca="false">IF(AND(R324&lt;0,R325&gt;=0,A325&lt;=MAX(120,Premissas!$B$15*12)),(A325-1)+(-R324)/Q325,"")</f>
        <v/>
      </c>
    </row>
    <row r="326" customFormat="false" ht="15" hidden="false" customHeight="false" outlineLevel="0" collapsed="false">
      <c r="A326" s="10" t="n">
        <f aca="false">A325+1</f>
        <v>322</v>
      </c>
      <c r="B326" s="36" t="n">
        <f aca="false">IF(Premissas!$B$9&lt;=1,1,MIN(1,Premissas!$B$8/100+(1-Premissas!$B$8/100)*(A326-1)/(Premissas!$B$9-1)))</f>
        <v>1</v>
      </c>
      <c r="C326" s="9" t="n">
        <f aca="false">IF(A326&lt;=Resultados!$B$9,Resultados!$B$10,0)</f>
        <v>0</v>
      </c>
      <c r="D326" s="9" t="n">
        <f aca="false">Resultados!$E$37*$B326-Resultados!$F$37*$B326-Premissas!$B$24-Resultados!$E$37*$B326*(Premissas!$B$14/100)</f>
        <v>19027</v>
      </c>
      <c r="E326" s="9" t="n">
        <f aca="false">D326-$C326</f>
        <v>19027</v>
      </c>
      <c r="F326" s="9" t="n">
        <f aca="false">F325+E326</f>
        <v>5737090.9</v>
      </c>
      <c r="G326" s="37" t="str">
        <f aca="false">IF(AND(F325&lt;0,F326&gt;=0,A326&lt;=MAX(120,Premissas!$B$15*12)),(A326-1)+(-F325)/E326,"")</f>
        <v/>
      </c>
      <c r="H326" s="9" t="n">
        <f aca="false">Resultados!$E$38*$B326-Resultados!$F$38*$B326-Premissas!$B$24-Resultados!$E$38*$B326*(Premissas!$B$14/100)</f>
        <v>24432.4</v>
      </c>
      <c r="I326" s="9" t="n">
        <f aca="false">H326-$C326</f>
        <v>24432.4</v>
      </c>
      <c r="J326" s="9" t="n">
        <f aca="false">J325+I326</f>
        <v>7459791.88000004</v>
      </c>
      <c r="K326" s="37" t="str">
        <f aca="false">IF(AND(J325&lt;0,J326&gt;=0,A326&lt;=MAX(120,Premissas!$B$15*12)),(A326-1)+(-J325)/I326,"")</f>
        <v/>
      </c>
      <c r="L326" s="9" t="n">
        <f aca="false">Resultados!$E$39*$B326-Resultados!$F$39*$B326-Premissas!$B$24-Resultados!$E$39*$B326*(Premissas!$B$14/100)</f>
        <v>29837.8</v>
      </c>
      <c r="M326" s="9" t="n">
        <f aca="false">L326-$C326</f>
        <v>29837.8</v>
      </c>
      <c r="N326" s="9" t="n">
        <f aca="false">N325+M326</f>
        <v>9182492.85999998</v>
      </c>
      <c r="O326" s="37" t="str">
        <f aca="false">IF(AND(N325&lt;0,N326&gt;=0,A326&lt;=MAX(120,Premissas!$B$15*12)),(A326-1)+(-N325)/M326,"")</f>
        <v/>
      </c>
      <c r="P326" s="9" t="n">
        <f aca="false">Resultados!$B$19*$B326-Resultados!$B$20*$B326-Premissas!$B$24-Resultados!$B$19*$B326*(Premissas!$B$14/100)</f>
        <v>24432.4</v>
      </c>
      <c r="Q326" s="9" t="n">
        <f aca="false">P326-$C326</f>
        <v>24432.4</v>
      </c>
      <c r="R326" s="9" t="n">
        <f aca="false">R325+Q326</f>
        <v>7459791.88000004</v>
      </c>
      <c r="S326" s="37" t="str">
        <f aca="false">IF(AND(R325&lt;0,R326&gt;=0,A326&lt;=MAX(120,Premissas!$B$15*12)),(A326-1)+(-R325)/Q326,"")</f>
        <v/>
      </c>
    </row>
    <row r="327" customFormat="false" ht="15" hidden="false" customHeight="false" outlineLevel="0" collapsed="false">
      <c r="A327" s="10" t="n">
        <f aca="false">A326+1</f>
        <v>323</v>
      </c>
      <c r="B327" s="36" t="n">
        <f aca="false">IF(Premissas!$B$9&lt;=1,1,MIN(1,Premissas!$B$8/100+(1-Premissas!$B$8/100)*(A327-1)/(Premissas!$B$9-1)))</f>
        <v>1</v>
      </c>
      <c r="C327" s="9" t="n">
        <f aca="false">IF(A327&lt;=Resultados!$B$9,Resultados!$B$10,0)</f>
        <v>0</v>
      </c>
      <c r="D327" s="9" t="n">
        <f aca="false">Resultados!$E$37*$B327-Resultados!$F$37*$B327-Premissas!$B$24-Resultados!$E$37*$B327*(Premissas!$B$14/100)</f>
        <v>19027</v>
      </c>
      <c r="E327" s="9" t="n">
        <f aca="false">D327-$C327</f>
        <v>19027</v>
      </c>
      <c r="F327" s="9" t="n">
        <f aca="false">F326+E327</f>
        <v>5756117.9</v>
      </c>
      <c r="G327" s="37" t="str">
        <f aca="false">IF(AND(F326&lt;0,F327&gt;=0,A327&lt;=MAX(120,Premissas!$B$15*12)),(A327-1)+(-F326)/E327,"")</f>
        <v/>
      </c>
      <c r="H327" s="9" t="n">
        <f aca="false">Resultados!$E$38*$B327-Resultados!$F$38*$B327-Premissas!$B$24-Resultados!$E$38*$B327*(Premissas!$B$14/100)</f>
        <v>24432.4</v>
      </c>
      <c r="I327" s="9" t="n">
        <f aca="false">H327-$C327</f>
        <v>24432.4</v>
      </c>
      <c r="J327" s="9" t="n">
        <f aca="false">J326+I327</f>
        <v>7484224.28000004</v>
      </c>
      <c r="K327" s="37" t="str">
        <f aca="false">IF(AND(J326&lt;0,J327&gt;=0,A327&lt;=MAX(120,Premissas!$B$15*12)),(A327-1)+(-J326)/I327,"")</f>
        <v/>
      </c>
      <c r="L327" s="9" t="n">
        <f aca="false">Resultados!$E$39*$B327-Resultados!$F$39*$B327-Premissas!$B$24-Resultados!$E$39*$B327*(Premissas!$B$14/100)</f>
        <v>29837.8</v>
      </c>
      <c r="M327" s="9" t="n">
        <f aca="false">L327-$C327</f>
        <v>29837.8</v>
      </c>
      <c r="N327" s="9" t="n">
        <f aca="false">N326+M327</f>
        <v>9212330.65999998</v>
      </c>
      <c r="O327" s="37" t="str">
        <f aca="false">IF(AND(N326&lt;0,N327&gt;=0,A327&lt;=MAX(120,Premissas!$B$15*12)),(A327-1)+(-N326)/M327,"")</f>
        <v/>
      </c>
      <c r="P327" s="9" t="n">
        <f aca="false">Resultados!$B$19*$B327-Resultados!$B$20*$B327-Premissas!$B$24-Resultados!$B$19*$B327*(Premissas!$B$14/100)</f>
        <v>24432.4</v>
      </c>
      <c r="Q327" s="9" t="n">
        <f aca="false">P327-$C327</f>
        <v>24432.4</v>
      </c>
      <c r="R327" s="9" t="n">
        <f aca="false">R326+Q327</f>
        <v>7484224.28000004</v>
      </c>
      <c r="S327" s="37" t="str">
        <f aca="false">IF(AND(R326&lt;0,R327&gt;=0,A327&lt;=MAX(120,Premissas!$B$15*12)),(A327-1)+(-R326)/Q327,"")</f>
        <v/>
      </c>
    </row>
    <row r="328" customFormat="false" ht="15" hidden="false" customHeight="false" outlineLevel="0" collapsed="false">
      <c r="A328" s="10" t="n">
        <f aca="false">A327+1</f>
        <v>324</v>
      </c>
      <c r="B328" s="36" t="n">
        <f aca="false">IF(Premissas!$B$9&lt;=1,1,MIN(1,Premissas!$B$8/100+(1-Premissas!$B$8/100)*(A328-1)/(Premissas!$B$9-1)))</f>
        <v>1</v>
      </c>
      <c r="C328" s="9" t="n">
        <f aca="false">IF(A328&lt;=Resultados!$B$9,Resultados!$B$10,0)</f>
        <v>0</v>
      </c>
      <c r="D328" s="9" t="n">
        <f aca="false">Resultados!$E$37*$B328-Resultados!$F$37*$B328-Premissas!$B$24-Resultados!$E$37*$B328*(Premissas!$B$14/100)</f>
        <v>19027</v>
      </c>
      <c r="E328" s="9" t="n">
        <f aca="false">D328-$C328</f>
        <v>19027</v>
      </c>
      <c r="F328" s="9" t="n">
        <f aca="false">F327+E328</f>
        <v>5775144.9</v>
      </c>
      <c r="G328" s="37" t="str">
        <f aca="false">IF(AND(F327&lt;0,F328&gt;=0,A328&lt;=MAX(120,Premissas!$B$15*12)),(A328-1)+(-F327)/E328,"")</f>
        <v/>
      </c>
      <c r="H328" s="9" t="n">
        <f aca="false">Resultados!$E$38*$B328-Resultados!$F$38*$B328-Premissas!$B$24-Resultados!$E$38*$B328*(Premissas!$B$14/100)</f>
        <v>24432.4</v>
      </c>
      <c r="I328" s="9" t="n">
        <f aca="false">H328-$C328</f>
        <v>24432.4</v>
      </c>
      <c r="J328" s="9" t="n">
        <f aca="false">J327+I328</f>
        <v>7508656.68000004</v>
      </c>
      <c r="K328" s="37" t="str">
        <f aca="false">IF(AND(J327&lt;0,J328&gt;=0,A328&lt;=MAX(120,Premissas!$B$15*12)),(A328-1)+(-J327)/I328,"")</f>
        <v/>
      </c>
      <c r="L328" s="9" t="n">
        <f aca="false">Resultados!$E$39*$B328-Resultados!$F$39*$B328-Premissas!$B$24-Resultados!$E$39*$B328*(Premissas!$B$14/100)</f>
        <v>29837.8</v>
      </c>
      <c r="M328" s="9" t="n">
        <f aca="false">L328-$C328</f>
        <v>29837.8</v>
      </c>
      <c r="N328" s="9" t="n">
        <f aca="false">N327+M328</f>
        <v>9242168.45999998</v>
      </c>
      <c r="O328" s="37" t="str">
        <f aca="false">IF(AND(N327&lt;0,N328&gt;=0,A328&lt;=MAX(120,Premissas!$B$15*12)),(A328-1)+(-N327)/M328,"")</f>
        <v/>
      </c>
      <c r="P328" s="9" t="n">
        <f aca="false">Resultados!$B$19*$B328-Resultados!$B$20*$B328-Premissas!$B$24-Resultados!$B$19*$B328*(Premissas!$B$14/100)</f>
        <v>24432.4</v>
      </c>
      <c r="Q328" s="9" t="n">
        <f aca="false">P328-$C328</f>
        <v>24432.4</v>
      </c>
      <c r="R328" s="9" t="n">
        <f aca="false">R327+Q328</f>
        <v>7508656.68000004</v>
      </c>
      <c r="S328" s="37" t="str">
        <f aca="false">IF(AND(R327&lt;0,R328&gt;=0,A328&lt;=MAX(120,Premissas!$B$15*12)),(A328-1)+(-R327)/Q328,"")</f>
        <v/>
      </c>
    </row>
    <row r="329" customFormat="false" ht="15" hidden="false" customHeight="false" outlineLevel="0" collapsed="false">
      <c r="A329" s="10" t="n">
        <f aca="false">A328+1</f>
        <v>325</v>
      </c>
      <c r="B329" s="36" t="n">
        <f aca="false">IF(Premissas!$B$9&lt;=1,1,MIN(1,Premissas!$B$8/100+(1-Premissas!$B$8/100)*(A329-1)/(Premissas!$B$9-1)))</f>
        <v>1</v>
      </c>
      <c r="C329" s="9" t="n">
        <f aca="false">IF(A329&lt;=Resultados!$B$9,Resultados!$B$10,0)</f>
        <v>0</v>
      </c>
      <c r="D329" s="9" t="n">
        <f aca="false">Resultados!$E$37*$B329-Resultados!$F$37*$B329-Premissas!$B$24-Resultados!$E$37*$B329*(Premissas!$B$14/100)</f>
        <v>19027</v>
      </c>
      <c r="E329" s="9" t="n">
        <f aca="false">D329-$C329</f>
        <v>19027</v>
      </c>
      <c r="F329" s="9" t="n">
        <f aca="false">F328+E329</f>
        <v>5794171.9</v>
      </c>
      <c r="G329" s="37" t="str">
        <f aca="false">IF(AND(F328&lt;0,F329&gt;=0,A329&lt;=MAX(120,Premissas!$B$15*12)),(A329-1)+(-F328)/E329,"")</f>
        <v/>
      </c>
      <c r="H329" s="9" t="n">
        <f aca="false">Resultados!$E$38*$B329-Resultados!$F$38*$B329-Premissas!$B$24-Resultados!$E$38*$B329*(Premissas!$B$14/100)</f>
        <v>24432.4</v>
      </c>
      <c r="I329" s="9" t="n">
        <f aca="false">H329-$C329</f>
        <v>24432.4</v>
      </c>
      <c r="J329" s="9" t="n">
        <f aca="false">J328+I329</f>
        <v>7533089.08000004</v>
      </c>
      <c r="K329" s="37" t="str">
        <f aca="false">IF(AND(J328&lt;0,J329&gt;=0,A329&lt;=MAX(120,Premissas!$B$15*12)),(A329-1)+(-J328)/I329,"")</f>
        <v/>
      </c>
      <c r="L329" s="9" t="n">
        <f aca="false">Resultados!$E$39*$B329-Resultados!$F$39*$B329-Premissas!$B$24-Resultados!$E$39*$B329*(Premissas!$B$14/100)</f>
        <v>29837.8</v>
      </c>
      <c r="M329" s="9" t="n">
        <f aca="false">L329-$C329</f>
        <v>29837.8</v>
      </c>
      <c r="N329" s="9" t="n">
        <f aca="false">N328+M329</f>
        <v>9272006.25999999</v>
      </c>
      <c r="O329" s="37" t="str">
        <f aca="false">IF(AND(N328&lt;0,N329&gt;=0,A329&lt;=MAX(120,Premissas!$B$15*12)),(A329-1)+(-N328)/M329,"")</f>
        <v/>
      </c>
      <c r="P329" s="9" t="n">
        <f aca="false">Resultados!$B$19*$B329-Resultados!$B$20*$B329-Premissas!$B$24-Resultados!$B$19*$B329*(Premissas!$B$14/100)</f>
        <v>24432.4</v>
      </c>
      <c r="Q329" s="9" t="n">
        <f aca="false">P329-$C329</f>
        <v>24432.4</v>
      </c>
      <c r="R329" s="9" t="n">
        <f aca="false">R328+Q329</f>
        <v>7533089.08000004</v>
      </c>
      <c r="S329" s="37" t="str">
        <f aca="false">IF(AND(R328&lt;0,R329&gt;=0,A329&lt;=MAX(120,Premissas!$B$15*12)),(A329-1)+(-R328)/Q329,"")</f>
        <v/>
      </c>
    </row>
    <row r="330" customFormat="false" ht="15" hidden="false" customHeight="false" outlineLevel="0" collapsed="false">
      <c r="A330" s="10" t="n">
        <f aca="false">A329+1</f>
        <v>326</v>
      </c>
      <c r="B330" s="36" t="n">
        <f aca="false">IF(Premissas!$B$9&lt;=1,1,MIN(1,Premissas!$B$8/100+(1-Premissas!$B$8/100)*(A330-1)/(Premissas!$B$9-1)))</f>
        <v>1</v>
      </c>
      <c r="C330" s="9" t="n">
        <f aca="false">IF(A330&lt;=Resultados!$B$9,Resultados!$B$10,0)</f>
        <v>0</v>
      </c>
      <c r="D330" s="9" t="n">
        <f aca="false">Resultados!$E$37*$B330-Resultados!$F$37*$B330-Premissas!$B$24-Resultados!$E$37*$B330*(Premissas!$B$14/100)</f>
        <v>19027</v>
      </c>
      <c r="E330" s="9" t="n">
        <f aca="false">D330-$C330</f>
        <v>19027</v>
      </c>
      <c r="F330" s="9" t="n">
        <f aca="false">F329+E330</f>
        <v>5813198.9</v>
      </c>
      <c r="G330" s="37" t="str">
        <f aca="false">IF(AND(F329&lt;0,F330&gt;=0,A330&lt;=MAX(120,Premissas!$B$15*12)),(A330-1)+(-F329)/E330,"")</f>
        <v/>
      </c>
      <c r="H330" s="9" t="n">
        <f aca="false">Resultados!$E$38*$B330-Resultados!$F$38*$B330-Premissas!$B$24-Resultados!$E$38*$B330*(Premissas!$B$14/100)</f>
        <v>24432.4</v>
      </c>
      <c r="I330" s="9" t="n">
        <f aca="false">H330-$C330</f>
        <v>24432.4</v>
      </c>
      <c r="J330" s="9" t="n">
        <f aca="false">J329+I330</f>
        <v>7557521.48000004</v>
      </c>
      <c r="K330" s="37" t="str">
        <f aca="false">IF(AND(J329&lt;0,J330&gt;=0,A330&lt;=MAX(120,Premissas!$B$15*12)),(A330-1)+(-J329)/I330,"")</f>
        <v/>
      </c>
      <c r="L330" s="9" t="n">
        <f aca="false">Resultados!$E$39*$B330-Resultados!$F$39*$B330-Premissas!$B$24-Resultados!$E$39*$B330*(Premissas!$B$14/100)</f>
        <v>29837.8</v>
      </c>
      <c r="M330" s="9" t="n">
        <f aca="false">L330-$C330</f>
        <v>29837.8</v>
      </c>
      <c r="N330" s="9" t="n">
        <f aca="false">N329+M330</f>
        <v>9301844.05999999</v>
      </c>
      <c r="O330" s="37" t="str">
        <f aca="false">IF(AND(N329&lt;0,N330&gt;=0,A330&lt;=MAX(120,Premissas!$B$15*12)),(A330-1)+(-N329)/M330,"")</f>
        <v/>
      </c>
      <c r="P330" s="9" t="n">
        <f aca="false">Resultados!$B$19*$B330-Resultados!$B$20*$B330-Premissas!$B$24-Resultados!$B$19*$B330*(Premissas!$B$14/100)</f>
        <v>24432.4</v>
      </c>
      <c r="Q330" s="9" t="n">
        <f aca="false">P330-$C330</f>
        <v>24432.4</v>
      </c>
      <c r="R330" s="9" t="n">
        <f aca="false">R329+Q330</f>
        <v>7557521.48000004</v>
      </c>
      <c r="S330" s="37" t="str">
        <f aca="false">IF(AND(R329&lt;0,R330&gt;=0,A330&lt;=MAX(120,Premissas!$B$15*12)),(A330-1)+(-R329)/Q330,"")</f>
        <v/>
      </c>
    </row>
    <row r="331" customFormat="false" ht="15" hidden="false" customHeight="false" outlineLevel="0" collapsed="false">
      <c r="A331" s="10" t="n">
        <f aca="false">A330+1</f>
        <v>327</v>
      </c>
      <c r="B331" s="36" t="n">
        <f aca="false">IF(Premissas!$B$9&lt;=1,1,MIN(1,Premissas!$B$8/100+(1-Premissas!$B$8/100)*(A331-1)/(Premissas!$B$9-1)))</f>
        <v>1</v>
      </c>
      <c r="C331" s="9" t="n">
        <f aca="false">IF(A331&lt;=Resultados!$B$9,Resultados!$B$10,0)</f>
        <v>0</v>
      </c>
      <c r="D331" s="9" t="n">
        <f aca="false">Resultados!$E$37*$B331-Resultados!$F$37*$B331-Premissas!$B$24-Resultados!$E$37*$B331*(Premissas!$B$14/100)</f>
        <v>19027</v>
      </c>
      <c r="E331" s="9" t="n">
        <f aca="false">D331-$C331</f>
        <v>19027</v>
      </c>
      <c r="F331" s="9" t="n">
        <f aca="false">F330+E331</f>
        <v>5832225.9</v>
      </c>
      <c r="G331" s="37" t="str">
        <f aca="false">IF(AND(F330&lt;0,F331&gt;=0,A331&lt;=MAX(120,Premissas!$B$15*12)),(A331-1)+(-F330)/E331,"")</f>
        <v/>
      </c>
      <c r="H331" s="9" t="n">
        <f aca="false">Resultados!$E$38*$B331-Resultados!$F$38*$B331-Premissas!$B$24-Resultados!$E$38*$B331*(Premissas!$B$14/100)</f>
        <v>24432.4</v>
      </c>
      <c r="I331" s="9" t="n">
        <f aca="false">H331-$C331</f>
        <v>24432.4</v>
      </c>
      <c r="J331" s="9" t="n">
        <f aca="false">J330+I331</f>
        <v>7581953.88000004</v>
      </c>
      <c r="K331" s="37" t="str">
        <f aca="false">IF(AND(J330&lt;0,J331&gt;=0,A331&lt;=MAX(120,Premissas!$B$15*12)),(A331-1)+(-J330)/I331,"")</f>
        <v/>
      </c>
      <c r="L331" s="9" t="n">
        <f aca="false">Resultados!$E$39*$B331-Resultados!$F$39*$B331-Premissas!$B$24-Resultados!$E$39*$B331*(Premissas!$B$14/100)</f>
        <v>29837.8</v>
      </c>
      <c r="M331" s="9" t="n">
        <f aca="false">L331-$C331</f>
        <v>29837.8</v>
      </c>
      <c r="N331" s="9" t="n">
        <f aca="false">N330+M331</f>
        <v>9331681.85999999</v>
      </c>
      <c r="O331" s="37" t="str">
        <f aca="false">IF(AND(N330&lt;0,N331&gt;=0,A331&lt;=MAX(120,Premissas!$B$15*12)),(A331-1)+(-N330)/M331,"")</f>
        <v/>
      </c>
      <c r="P331" s="9" t="n">
        <f aca="false">Resultados!$B$19*$B331-Resultados!$B$20*$B331-Premissas!$B$24-Resultados!$B$19*$B331*(Premissas!$B$14/100)</f>
        <v>24432.4</v>
      </c>
      <c r="Q331" s="9" t="n">
        <f aca="false">P331-$C331</f>
        <v>24432.4</v>
      </c>
      <c r="R331" s="9" t="n">
        <f aca="false">R330+Q331</f>
        <v>7581953.88000004</v>
      </c>
      <c r="S331" s="37" t="str">
        <f aca="false">IF(AND(R330&lt;0,R331&gt;=0,A331&lt;=MAX(120,Premissas!$B$15*12)),(A331-1)+(-R330)/Q331,"")</f>
        <v/>
      </c>
    </row>
    <row r="332" customFormat="false" ht="15" hidden="false" customHeight="false" outlineLevel="0" collapsed="false">
      <c r="A332" s="10" t="n">
        <f aca="false">A331+1</f>
        <v>328</v>
      </c>
      <c r="B332" s="36" t="n">
        <f aca="false">IF(Premissas!$B$9&lt;=1,1,MIN(1,Premissas!$B$8/100+(1-Premissas!$B$8/100)*(A332-1)/(Premissas!$B$9-1)))</f>
        <v>1</v>
      </c>
      <c r="C332" s="9" t="n">
        <f aca="false">IF(A332&lt;=Resultados!$B$9,Resultados!$B$10,0)</f>
        <v>0</v>
      </c>
      <c r="D332" s="9" t="n">
        <f aca="false">Resultados!$E$37*$B332-Resultados!$F$37*$B332-Premissas!$B$24-Resultados!$E$37*$B332*(Premissas!$B$14/100)</f>
        <v>19027</v>
      </c>
      <c r="E332" s="9" t="n">
        <f aca="false">D332-$C332</f>
        <v>19027</v>
      </c>
      <c r="F332" s="9" t="n">
        <f aca="false">F331+E332</f>
        <v>5851252.9</v>
      </c>
      <c r="G332" s="37" t="str">
        <f aca="false">IF(AND(F331&lt;0,F332&gt;=0,A332&lt;=MAX(120,Premissas!$B$15*12)),(A332-1)+(-F331)/E332,"")</f>
        <v/>
      </c>
      <c r="H332" s="9" t="n">
        <f aca="false">Resultados!$E$38*$B332-Resultados!$F$38*$B332-Premissas!$B$24-Resultados!$E$38*$B332*(Premissas!$B$14/100)</f>
        <v>24432.4</v>
      </c>
      <c r="I332" s="9" t="n">
        <f aca="false">H332-$C332</f>
        <v>24432.4</v>
      </c>
      <c r="J332" s="9" t="n">
        <f aca="false">J331+I332</f>
        <v>7606386.28000004</v>
      </c>
      <c r="K332" s="37" t="str">
        <f aca="false">IF(AND(J331&lt;0,J332&gt;=0,A332&lt;=MAX(120,Premissas!$B$15*12)),(A332-1)+(-J331)/I332,"")</f>
        <v/>
      </c>
      <c r="L332" s="9" t="n">
        <f aca="false">Resultados!$E$39*$B332-Resultados!$F$39*$B332-Premissas!$B$24-Resultados!$E$39*$B332*(Premissas!$B$14/100)</f>
        <v>29837.8</v>
      </c>
      <c r="M332" s="9" t="n">
        <f aca="false">L332-$C332</f>
        <v>29837.8</v>
      </c>
      <c r="N332" s="9" t="n">
        <f aca="false">N331+M332</f>
        <v>9361519.65999999</v>
      </c>
      <c r="O332" s="37" t="str">
        <f aca="false">IF(AND(N331&lt;0,N332&gt;=0,A332&lt;=MAX(120,Premissas!$B$15*12)),(A332-1)+(-N331)/M332,"")</f>
        <v/>
      </c>
      <c r="P332" s="9" t="n">
        <f aca="false">Resultados!$B$19*$B332-Resultados!$B$20*$B332-Premissas!$B$24-Resultados!$B$19*$B332*(Premissas!$B$14/100)</f>
        <v>24432.4</v>
      </c>
      <c r="Q332" s="9" t="n">
        <f aca="false">P332-$C332</f>
        <v>24432.4</v>
      </c>
      <c r="R332" s="9" t="n">
        <f aca="false">R331+Q332</f>
        <v>7606386.28000004</v>
      </c>
      <c r="S332" s="37" t="str">
        <f aca="false">IF(AND(R331&lt;0,R332&gt;=0,A332&lt;=MAX(120,Premissas!$B$15*12)),(A332-1)+(-R331)/Q332,"")</f>
        <v/>
      </c>
    </row>
    <row r="333" customFormat="false" ht="15" hidden="false" customHeight="false" outlineLevel="0" collapsed="false">
      <c r="A333" s="10" t="n">
        <f aca="false">A332+1</f>
        <v>329</v>
      </c>
      <c r="B333" s="36" t="n">
        <f aca="false">IF(Premissas!$B$9&lt;=1,1,MIN(1,Premissas!$B$8/100+(1-Premissas!$B$8/100)*(A333-1)/(Premissas!$B$9-1)))</f>
        <v>1</v>
      </c>
      <c r="C333" s="9" t="n">
        <f aca="false">IF(A333&lt;=Resultados!$B$9,Resultados!$B$10,0)</f>
        <v>0</v>
      </c>
      <c r="D333" s="9" t="n">
        <f aca="false">Resultados!$E$37*$B333-Resultados!$F$37*$B333-Premissas!$B$24-Resultados!$E$37*$B333*(Premissas!$B$14/100)</f>
        <v>19027</v>
      </c>
      <c r="E333" s="9" t="n">
        <f aca="false">D333-$C333</f>
        <v>19027</v>
      </c>
      <c r="F333" s="9" t="n">
        <f aca="false">F332+E333</f>
        <v>5870279.9</v>
      </c>
      <c r="G333" s="37" t="str">
        <f aca="false">IF(AND(F332&lt;0,F333&gt;=0,A333&lt;=MAX(120,Premissas!$B$15*12)),(A333-1)+(-F332)/E333,"")</f>
        <v/>
      </c>
      <c r="H333" s="9" t="n">
        <f aca="false">Resultados!$E$38*$B333-Resultados!$F$38*$B333-Premissas!$B$24-Resultados!$E$38*$B333*(Premissas!$B$14/100)</f>
        <v>24432.4</v>
      </c>
      <c r="I333" s="9" t="n">
        <f aca="false">H333-$C333</f>
        <v>24432.4</v>
      </c>
      <c r="J333" s="9" t="n">
        <f aca="false">J332+I333</f>
        <v>7630818.68000004</v>
      </c>
      <c r="K333" s="37" t="str">
        <f aca="false">IF(AND(J332&lt;0,J333&gt;=0,A333&lt;=MAX(120,Premissas!$B$15*12)),(A333-1)+(-J332)/I333,"")</f>
        <v/>
      </c>
      <c r="L333" s="9" t="n">
        <f aca="false">Resultados!$E$39*$B333-Resultados!$F$39*$B333-Premissas!$B$24-Resultados!$E$39*$B333*(Premissas!$B$14/100)</f>
        <v>29837.8</v>
      </c>
      <c r="M333" s="9" t="n">
        <f aca="false">L333-$C333</f>
        <v>29837.8</v>
      </c>
      <c r="N333" s="9" t="n">
        <f aca="false">N332+M333</f>
        <v>9391357.45999999</v>
      </c>
      <c r="O333" s="37" t="str">
        <f aca="false">IF(AND(N332&lt;0,N333&gt;=0,A333&lt;=MAX(120,Premissas!$B$15*12)),(A333-1)+(-N332)/M333,"")</f>
        <v/>
      </c>
      <c r="P333" s="9" t="n">
        <f aca="false">Resultados!$B$19*$B333-Resultados!$B$20*$B333-Premissas!$B$24-Resultados!$B$19*$B333*(Premissas!$B$14/100)</f>
        <v>24432.4</v>
      </c>
      <c r="Q333" s="9" t="n">
        <f aca="false">P333-$C333</f>
        <v>24432.4</v>
      </c>
      <c r="R333" s="9" t="n">
        <f aca="false">R332+Q333</f>
        <v>7630818.68000004</v>
      </c>
      <c r="S333" s="37" t="str">
        <f aca="false">IF(AND(R332&lt;0,R333&gt;=0,A333&lt;=MAX(120,Premissas!$B$15*12)),(A333-1)+(-R332)/Q333,"")</f>
        <v/>
      </c>
    </row>
    <row r="334" customFormat="false" ht="15" hidden="false" customHeight="false" outlineLevel="0" collapsed="false">
      <c r="A334" s="10" t="n">
        <f aca="false">A333+1</f>
        <v>330</v>
      </c>
      <c r="B334" s="36" t="n">
        <f aca="false">IF(Premissas!$B$9&lt;=1,1,MIN(1,Premissas!$B$8/100+(1-Premissas!$B$8/100)*(A334-1)/(Premissas!$B$9-1)))</f>
        <v>1</v>
      </c>
      <c r="C334" s="9" t="n">
        <f aca="false">IF(A334&lt;=Resultados!$B$9,Resultados!$B$10,0)</f>
        <v>0</v>
      </c>
      <c r="D334" s="9" t="n">
        <f aca="false">Resultados!$E$37*$B334-Resultados!$F$37*$B334-Premissas!$B$24-Resultados!$E$37*$B334*(Premissas!$B$14/100)</f>
        <v>19027</v>
      </c>
      <c r="E334" s="9" t="n">
        <f aca="false">D334-$C334</f>
        <v>19027</v>
      </c>
      <c r="F334" s="9" t="n">
        <f aca="false">F333+E334</f>
        <v>5889306.9</v>
      </c>
      <c r="G334" s="37" t="str">
        <f aca="false">IF(AND(F333&lt;0,F334&gt;=0,A334&lt;=MAX(120,Premissas!$B$15*12)),(A334-1)+(-F333)/E334,"")</f>
        <v/>
      </c>
      <c r="H334" s="9" t="n">
        <f aca="false">Resultados!$E$38*$B334-Resultados!$F$38*$B334-Premissas!$B$24-Resultados!$E$38*$B334*(Premissas!$B$14/100)</f>
        <v>24432.4</v>
      </c>
      <c r="I334" s="9" t="n">
        <f aca="false">H334-$C334</f>
        <v>24432.4</v>
      </c>
      <c r="J334" s="9" t="n">
        <f aca="false">J333+I334</f>
        <v>7655251.08000004</v>
      </c>
      <c r="K334" s="37" t="str">
        <f aca="false">IF(AND(J333&lt;0,J334&gt;=0,A334&lt;=MAX(120,Premissas!$B$15*12)),(A334-1)+(-J333)/I334,"")</f>
        <v/>
      </c>
      <c r="L334" s="9" t="n">
        <f aca="false">Resultados!$E$39*$B334-Resultados!$F$39*$B334-Premissas!$B$24-Resultados!$E$39*$B334*(Premissas!$B$14/100)</f>
        <v>29837.8</v>
      </c>
      <c r="M334" s="9" t="n">
        <f aca="false">L334-$C334</f>
        <v>29837.8</v>
      </c>
      <c r="N334" s="9" t="n">
        <f aca="false">N333+M334</f>
        <v>9421195.25999999</v>
      </c>
      <c r="O334" s="37" t="str">
        <f aca="false">IF(AND(N333&lt;0,N334&gt;=0,A334&lt;=MAX(120,Premissas!$B$15*12)),(A334-1)+(-N333)/M334,"")</f>
        <v/>
      </c>
      <c r="P334" s="9" t="n">
        <f aca="false">Resultados!$B$19*$B334-Resultados!$B$20*$B334-Premissas!$B$24-Resultados!$B$19*$B334*(Premissas!$B$14/100)</f>
        <v>24432.4</v>
      </c>
      <c r="Q334" s="9" t="n">
        <f aca="false">P334-$C334</f>
        <v>24432.4</v>
      </c>
      <c r="R334" s="9" t="n">
        <f aca="false">R333+Q334</f>
        <v>7655251.08000004</v>
      </c>
      <c r="S334" s="37" t="str">
        <f aca="false">IF(AND(R333&lt;0,R334&gt;=0,A334&lt;=MAX(120,Premissas!$B$15*12)),(A334-1)+(-R333)/Q334,"")</f>
        <v/>
      </c>
    </row>
    <row r="335" customFormat="false" ht="15" hidden="false" customHeight="false" outlineLevel="0" collapsed="false">
      <c r="A335" s="10" t="n">
        <f aca="false">A334+1</f>
        <v>331</v>
      </c>
      <c r="B335" s="36" t="n">
        <f aca="false">IF(Premissas!$B$9&lt;=1,1,MIN(1,Premissas!$B$8/100+(1-Premissas!$B$8/100)*(A335-1)/(Premissas!$B$9-1)))</f>
        <v>1</v>
      </c>
      <c r="C335" s="9" t="n">
        <f aca="false">IF(A335&lt;=Resultados!$B$9,Resultados!$B$10,0)</f>
        <v>0</v>
      </c>
      <c r="D335" s="9" t="n">
        <f aca="false">Resultados!$E$37*$B335-Resultados!$F$37*$B335-Premissas!$B$24-Resultados!$E$37*$B335*(Premissas!$B$14/100)</f>
        <v>19027</v>
      </c>
      <c r="E335" s="9" t="n">
        <f aca="false">D335-$C335</f>
        <v>19027</v>
      </c>
      <c r="F335" s="9" t="n">
        <f aca="false">F334+E335</f>
        <v>5908333.9</v>
      </c>
      <c r="G335" s="37" t="str">
        <f aca="false">IF(AND(F334&lt;0,F335&gt;=0,A335&lt;=MAX(120,Premissas!$B$15*12)),(A335-1)+(-F334)/E335,"")</f>
        <v/>
      </c>
      <c r="H335" s="9" t="n">
        <f aca="false">Resultados!$E$38*$B335-Resultados!$F$38*$B335-Premissas!$B$24-Resultados!$E$38*$B335*(Premissas!$B$14/100)</f>
        <v>24432.4</v>
      </c>
      <c r="I335" s="9" t="n">
        <f aca="false">H335-$C335</f>
        <v>24432.4</v>
      </c>
      <c r="J335" s="9" t="n">
        <f aca="false">J334+I335</f>
        <v>7679683.48000004</v>
      </c>
      <c r="K335" s="37" t="str">
        <f aca="false">IF(AND(J334&lt;0,J335&gt;=0,A335&lt;=MAX(120,Premissas!$B$15*12)),(A335-1)+(-J334)/I335,"")</f>
        <v/>
      </c>
      <c r="L335" s="9" t="n">
        <f aca="false">Resultados!$E$39*$B335-Resultados!$F$39*$B335-Premissas!$B$24-Resultados!$E$39*$B335*(Premissas!$B$14/100)</f>
        <v>29837.8</v>
      </c>
      <c r="M335" s="9" t="n">
        <f aca="false">L335-$C335</f>
        <v>29837.8</v>
      </c>
      <c r="N335" s="9" t="n">
        <f aca="false">N334+M335</f>
        <v>9451033.05999999</v>
      </c>
      <c r="O335" s="37" t="str">
        <f aca="false">IF(AND(N334&lt;0,N335&gt;=0,A335&lt;=MAX(120,Premissas!$B$15*12)),(A335-1)+(-N334)/M335,"")</f>
        <v/>
      </c>
      <c r="P335" s="9" t="n">
        <f aca="false">Resultados!$B$19*$B335-Resultados!$B$20*$B335-Premissas!$B$24-Resultados!$B$19*$B335*(Premissas!$B$14/100)</f>
        <v>24432.4</v>
      </c>
      <c r="Q335" s="9" t="n">
        <f aca="false">P335-$C335</f>
        <v>24432.4</v>
      </c>
      <c r="R335" s="9" t="n">
        <f aca="false">R334+Q335</f>
        <v>7679683.48000004</v>
      </c>
      <c r="S335" s="37" t="str">
        <f aca="false">IF(AND(R334&lt;0,R335&gt;=0,A335&lt;=MAX(120,Premissas!$B$15*12)),(A335-1)+(-R334)/Q335,"")</f>
        <v/>
      </c>
    </row>
    <row r="336" customFormat="false" ht="15" hidden="false" customHeight="false" outlineLevel="0" collapsed="false">
      <c r="A336" s="10" t="n">
        <f aca="false">A335+1</f>
        <v>332</v>
      </c>
      <c r="B336" s="36" t="n">
        <f aca="false">IF(Premissas!$B$9&lt;=1,1,MIN(1,Premissas!$B$8/100+(1-Premissas!$B$8/100)*(A336-1)/(Premissas!$B$9-1)))</f>
        <v>1</v>
      </c>
      <c r="C336" s="9" t="n">
        <f aca="false">IF(A336&lt;=Resultados!$B$9,Resultados!$B$10,0)</f>
        <v>0</v>
      </c>
      <c r="D336" s="9" t="n">
        <f aca="false">Resultados!$E$37*$B336-Resultados!$F$37*$B336-Premissas!$B$24-Resultados!$E$37*$B336*(Premissas!$B$14/100)</f>
        <v>19027</v>
      </c>
      <c r="E336" s="9" t="n">
        <f aca="false">D336-$C336</f>
        <v>19027</v>
      </c>
      <c r="F336" s="9" t="n">
        <f aca="false">F335+E336</f>
        <v>5927360.9</v>
      </c>
      <c r="G336" s="37" t="str">
        <f aca="false">IF(AND(F335&lt;0,F336&gt;=0,A336&lt;=MAX(120,Premissas!$B$15*12)),(A336-1)+(-F335)/E336,"")</f>
        <v/>
      </c>
      <c r="H336" s="9" t="n">
        <f aca="false">Resultados!$E$38*$B336-Resultados!$F$38*$B336-Premissas!$B$24-Resultados!$E$38*$B336*(Premissas!$B$14/100)</f>
        <v>24432.4</v>
      </c>
      <c r="I336" s="9" t="n">
        <f aca="false">H336-$C336</f>
        <v>24432.4</v>
      </c>
      <c r="J336" s="9" t="n">
        <f aca="false">J335+I336</f>
        <v>7704115.88000004</v>
      </c>
      <c r="K336" s="37" t="str">
        <f aca="false">IF(AND(J335&lt;0,J336&gt;=0,A336&lt;=MAX(120,Premissas!$B$15*12)),(A336-1)+(-J335)/I336,"")</f>
        <v/>
      </c>
      <c r="L336" s="9" t="n">
        <f aca="false">Resultados!$E$39*$B336-Resultados!$F$39*$B336-Premissas!$B$24-Resultados!$E$39*$B336*(Premissas!$B$14/100)</f>
        <v>29837.8</v>
      </c>
      <c r="M336" s="9" t="n">
        <f aca="false">L336-$C336</f>
        <v>29837.8</v>
      </c>
      <c r="N336" s="9" t="n">
        <f aca="false">N335+M336</f>
        <v>9480870.85999999</v>
      </c>
      <c r="O336" s="37" t="str">
        <f aca="false">IF(AND(N335&lt;0,N336&gt;=0,A336&lt;=MAX(120,Premissas!$B$15*12)),(A336-1)+(-N335)/M336,"")</f>
        <v/>
      </c>
      <c r="P336" s="9" t="n">
        <f aca="false">Resultados!$B$19*$B336-Resultados!$B$20*$B336-Premissas!$B$24-Resultados!$B$19*$B336*(Premissas!$B$14/100)</f>
        <v>24432.4</v>
      </c>
      <c r="Q336" s="9" t="n">
        <f aca="false">P336-$C336</f>
        <v>24432.4</v>
      </c>
      <c r="R336" s="9" t="n">
        <f aca="false">R335+Q336</f>
        <v>7704115.88000004</v>
      </c>
      <c r="S336" s="37" t="str">
        <f aca="false">IF(AND(R335&lt;0,R336&gt;=0,A336&lt;=MAX(120,Premissas!$B$15*12)),(A336-1)+(-R335)/Q336,"")</f>
        <v/>
      </c>
    </row>
    <row r="337" customFormat="false" ht="15" hidden="false" customHeight="false" outlineLevel="0" collapsed="false">
      <c r="A337" s="10" t="n">
        <f aca="false">A336+1</f>
        <v>333</v>
      </c>
      <c r="B337" s="36" t="n">
        <f aca="false">IF(Premissas!$B$9&lt;=1,1,MIN(1,Premissas!$B$8/100+(1-Premissas!$B$8/100)*(A337-1)/(Premissas!$B$9-1)))</f>
        <v>1</v>
      </c>
      <c r="C337" s="9" t="n">
        <f aca="false">IF(A337&lt;=Resultados!$B$9,Resultados!$B$10,0)</f>
        <v>0</v>
      </c>
      <c r="D337" s="9" t="n">
        <f aca="false">Resultados!$E$37*$B337-Resultados!$F$37*$B337-Premissas!$B$24-Resultados!$E$37*$B337*(Premissas!$B$14/100)</f>
        <v>19027</v>
      </c>
      <c r="E337" s="9" t="n">
        <f aca="false">D337-$C337</f>
        <v>19027</v>
      </c>
      <c r="F337" s="9" t="n">
        <f aca="false">F336+E337</f>
        <v>5946387.9</v>
      </c>
      <c r="G337" s="37" t="str">
        <f aca="false">IF(AND(F336&lt;0,F337&gt;=0,A337&lt;=MAX(120,Premissas!$B$15*12)),(A337-1)+(-F336)/E337,"")</f>
        <v/>
      </c>
      <c r="H337" s="9" t="n">
        <f aca="false">Resultados!$E$38*$B337-Resultados!$F$38*$B337-Premissas!$B$24-Resultados!$E$38*$B337*(Premissas!$B$14/100)</f>
        <v>24432.4</v>
      </c>
      <c r="I337" s="9" t="n">
        <f aca="false">H337-$C337</f>
        <v>24432.4</v>
      </c>
      <c r="J337" s="9" t="n">
        <f aca="false">J336+I337</f>
        <v>7728548.28000004</v>
      </c>
      <c r="K337" s="37" t="str">
        <f aca="false">IF(AND(J336&lt;0,J337&gt;=0,A337&lt;=MAX(120,Premissas!$B$15*12)),(A337-1)+(-J336)/I337,"")</f>
        <v/>
      </c>
      <c r="L337" s="9" t="n">
        <f aca="false">Resultados!$E$39*$B337-Resultados!$F$39*$B337-Premissas!$B$24-Resultados!$E$39*$B337*(Premissas!$B$14/100)</f>
        <v>29837.8</v>
      </c>
      <c r="M337" s="9" t="n">
        <f aca="false">L337-$C337</f>
        <v>29837.8</v>
      </c>
      <c r="N337" s="9" t="n">
        <f aca="false">N336+M337</f>
        <v>9510708.65999999</v>
      </c>
      <c r="O337" s="37" t="str">
        <f aca="false">IF(AND(N336&lt;0,N337&gt;=0,A337&lt;=MAX(120,Premissas!$B$15*12)),(A337-1)+(-N336)/M337,"")</f>
        <v/>
      </c>
      <c r="P337" s="9" t="n">
        <f aca="false">Resultados!$B$19*$B337-Resultados!$B$20*$B337-Premissas!$B$24-Resultados!$B$19*$B337*(Premissas!$B$14/100)</f>
        <v>24432.4</v>
      </c>
      <c r="Q337" s="9" t="n">
        <f aca="false">P337-$C337</f>
        <v>24432.4</v>
      </c>
      <c r="R337" s="9" t="n">
        <f aca="false">R336+Q337</f>
        <v>7728548.28000004</v>
      </c>
      <c r="S337" s="37" t="str">
        <f aca="false">IF(AND(R336&lt;0,R337&gt;=0,A337&lt;=MAX(120,Premissas!$B$15*12)),(A337-1)+(-R336)/Q337,"")</f>
        <v/>
      </c>
    </row>
    <row r="338" customFormat="false" ht="15" hidden="false" customHeight="false" outlineLevel="0" collapsed="false">
      <c r="A338" s="10" t="n">
        <f aca="false">A337+1</f>
        <v>334</v>
      </c>
      <c r="B338" s="36" t="n">
        <f aca="false">IF(Premissas!$B$9&lt;=1,1,MIN(1,Premissas!$B$8/100+(1-Premissas!$B$8/100)*(A338-1)/(Premissas!$B$9-1)))</f>
        <v>1</v>
      </c>
      <c r="C338" s="9" t="n">
        <f aca="false">IF(A338&lt;=Resultados!$B$9,Resultados!$B$10,0)</f>
        <v>0</v>
      </c>
      <c r="D338" s="9" t="n">
        <f aca="false">Resultados!$E$37*$B338-Resultados!$F$37*$B338-Premissas!$B$24-Resultados!$E$37*$B338*(Premissas!$B$14/100)</f>
        <v>19027</v>
      </c>
      <c r="E338" s="9" t="n">
        <f aca="false">D338-$C338</f>
        <v>19027</v>
      </c>
      <c r="F338" s="9" t="n">
        <f aca="false">F337+E338</f>
        <v>5965414.9</v>
      </c>
      <c r="G338" s="37" t="str">
        <f aca="false">IF(AND(F337&lt;0,F338&gt;=0,A338&lt;=MAX(120,Premissas!$B$15*12)),(A338-1)+(-F337)/E338,"")</f>
        <v/>
      </c>
      <c r="H338" s="9" t="n">
        <f aca="false">Resultados!$E$38*$B338-Resultados!$F$38*$B338-Premissas!$B$24-Resultados!$E$38*$B338*(Premissas!$B$14/100)</f>
        <v>24432.4</v>
      </c>
      <c r="I338" s="9" t="n">
        <f aca="false">H338-$C338</f>
        <v>24432.4</v>
      </c>
      <c r="J338" s="9" t="n">
        <f aca="false">J337+I338</f>
        <v>7752980.68000004</v>
      </c>
      <c r="K338" s="37" t="str">
        <f aca="false">IF(AND(J337&lt;0,J338&gt;=0,A338&lt;=MAX(120,Premissas!$B$15*12)),(A338-1)+(-J337)/I338,"")</f>
        <v/>
      </c>
      <c r="L338" s="9" t="n">
        <f aca="false">Resultados!$E$39*$B338-Resultados!$F$39*$B338-Premissas!$B$24-Resultados!$E$39*$B338*(Premissas!$B$14/100)</f>
        <v>29837.8</v>
      </c>
      <c r="M338" s="9" t="n">
        <f aca="false">L338-$C338</f>
        <v>29837.8</v>
      </c>
      <c r="N338" s="9" t="n">
        <f aca="false">N337+M338</f>
        <v>9540546.45999999</v>
      </c>
      <c r="O338" s="37" t="str">
        <f aca="false">IF(AND(N337&lt;0,N338&gt;=0,A338&lt;=MAX(120,Premissas!$B$15*12)),(A338-1)+(-N337)/M338,"")</f>
        <v/>
      </c>
      <c r="P338" s="9" t="n">
        <f aca="false">Resultados!$B$19*$B338-Resultados!$B$20*$B338-Premissas!$B$24-Resultados!$B$19*$B338*(Premissas!$B$14/100)</f>
        <v>24432.4</v>
      </c>
      <c r="Q338" s="9" t="n">
        <f aca="false">P338-$C338</f>
        <v>24432.4</v>
      </c>
      <c r="R338" s="9" t="n">
        <f aca="false">R337+Q338</f>
        <v>7752980.68000004</v>
      </c>
      <c r="S338" s="37" t="str">
        <f aca="false">IF(AND(R337&lt;0,R338&gt;=0,A338&lt;=MAX(120,Premissas!$B$15*12)),(A338-1)+(-R337)/Q338,"")</f>
        <v/>
      </c>
    </row>
    <row r="339" customFormat="false" ht="15" hidden="false" customHeight="false" outlineLevel="0" collapsed="false">
      <c r="A339" s="10" t="n">
        <f aca="false">A338+1</f>
        <v>335</v>
      </c>
      <c r="B339" s="36" t="n">
        <f aca="false">IF(Premissas!$B$9&lt;=1,1,MIN(1,Premissas!$B$8/100+(1-Premissas!$B$8/100)*(A339-1)/(Premissas!$B$9-1)))</f>
        <v>1</v>
      </c>
      <c r="C339" s="9" t="n">
        <f aca="false">IF(A339&lt;=Resultados!$B$9,Resultados!$B$10,0)</f>
        <v>0</v>
      </c>
      <c r="D339" s="9" t="n">
        <f aca="false">Resultados!$E$37*$B339-Resultados!$F$37*$B339-Premissas!$B$24-Resultados!$E$37*$B339*(Premissas!$B$14/100)</f>
        <v>19027</v>
      </c>
      <c r="E339" s="9" t="n">
        <f aca="false">D339-$C339</f>
        <v>19027</v>
      </c>
      <c r="F339" s="9" t="n">
        <f aca="false">F338+E339</f>
        <v>5984441.9</v>
      </c>
      <c r="G339" s="37" t="str">
        <f aca="false">IF(AND(F338&lt;0,F339&gt;=0,A339&lt;=MAX(120,Premissas!$B$15*12)),(A339-1)+(-F338)/E339,"")</f>
        <v/>
      </c>
      <c r="H339" s="9" t="n">
        <f aca="false">Resultados!$E$38*$B339-Resultados!$F$38*$B339-Premissas!$B$24-Resultados!$E$38*$B339*(Premissas!$B$14/100)</f>
        <v>24432.4</v>
      </c>
      <c r="I339" s="9" t="n">
        <f aca="false">H339-$C339</f>
        <v>24432.4</v>
      </c>
      <c r="J339" s="9" t="n">
        <f aca="false">J338+I339</f>
        <v>7777413.08000004</v>
      </c>
      <c r="K339" s="37" t="str">
        <f aca="false">IF(AND(J338&lt;0,J339&gt;=0,A339&lt;=MAX(120,Premissas!$B$15*12)),(A339-1)+(-J338)/I339,"")</f>
        <v/>
      </c>
      <c r="L339" s="9" t="n">
        <f aca="false">Resultados!$E$39*$B339-Resultados!$F$39*$B339-Premissas!$B$24-Resultados!$E$39*$B339*(Premissas!$B$14/100)</f>
        <v>29837.8</v>
      </c>
      <c r="M339" s="9" t="n">
        <f aca="false">L339-$C339</f>
        <v>29837.8</v>
      </c>
      <c r="N339" s="9" t="n">
        <f aca="false">N338+M339</f>
        <v>9570384.25999999</v>
      </c>
      <c r="O339" s="37" t="str">
        <f aca="false">IF(AND(N338&lt;0,N339&gt;=0,A339&lt;=MAX(120,Premissas!$B$15*12)),(A339-1)+(-N338)/M339,"")</f>
        <v/>
      </c>
      <c r="P339" s="9" t="n">
        <f aca="false">Resultados!$B$19*$B339-Resultados!$B$20*$B339-Premissas!$B$24-Resultados!$B$19*$B339*(Premissas!$B$14/100)</f>
        <v>24432.4</v>
      </c>
      <c r="Q339" s="9" t="n">
        <f aca="false">P339-$C339</f>
        <v>24432.4</v>
      </c>
      <c r="R339" s="9" t="n">
        <f aca="false">R338+Q339</f>
        <v>7777413.08000004</v>
      </c>
      <c r="S339" s="37" t="str">
        <f aca="false">IF(AND(R338&lt;0,R339&gt;=0,A339&lt;=MAX(120,Premissas!$B$15*12)),(A339-1)+(-R338)/Q339,"")</f>
        <v/>
      </c>
    </row>
    <row r="340" customFormat="false" ht="15" hidden="false" customHeight="false" outlineLevel="0" collapsed="false">
      <c r="A340" s="10" t="n">
        <f aca="false">A339+1</f>
        <v>336</v>
      </c>
      <c r="B340" s="36" t="n">
        <f aca="false">IF(Premissas!$B$9&lt;=1,1,MIN(1,Premissas!$B$8/100+(1-Premissas!$B$8/100)*(A340-1)/(Premissas!$B$9-1)))</f>
        <v>1</v>
      </c>
      <c r="C340" s="9" t="n">
        <f aca="false">IF(A340&lt;=Resultados!$B$9,Resultados!$B$10,0)</f>
        <v>0</v>
      </c>
      <c r="D340" s="9" t="n">
        <f aca="false">Resultados!$E$37*$B340-Resultados!$F$37*$B340-Premissas!$B$24-Resultados!$E$37*$B340*(Premissas!$B$14/100)</f>
        <v>19027</v>
      </c>
      <c r="E340" s="9" t="n">
        <f aca="false">D340-$C340</f>
        <v>19027</v>
      </c>
      <c r="F340" s="9" t="n">
        <f aca="false">F339+E340</f>
        <v>6003468.9</v>
      </c>
      <c r="G340" s="37" t="str">
        <f aca="false">IF(AND(F339&lt;0,F340&gt;=0,A340&lt;=MAX(120,Premissas!$B$15*12)),(A340-1)+(-F339)/E340,"")</f>
        <v/>
      </c>
      <c r="H340" s="9" t="n">
        <f aca="false">Resultados!$E$38*$B340-Resultados!$F$38*$B340-Premissas!$B$24-Resultados!$E$38*$B340*(Premissas!$B$14/100)</f>
        <v>24432.4</v>
      </c>
      <c r="I340" s="9" t="n">
        <f aca="false">H340-$C340</f>
        <v>24432.4</v>
      </c>
      <c r="J340" s="9" t="n">
        <f aca="false">J339+I340</f>
        <v>7801845.48000004</v>
      </c>
      <c r="K340" s="37" t="str">
        <f aca="false">IF(AND(J339&lt;0,J340&gt;=0,A340&lt;=MAX(120,Premissas!$B$15*12)),(A340-1)+(-J339)/I340,"")</f>
        <v/>
      </c>
      <c r="L340" s="9" t="n">
        <f aca="false">Resultados!$E$39*$B340-Resultados!$F$39*$B340-Premissas!$B$24-Resultados!$E$39*$B340*(Premissas!$B$14/100)</f>
        <v>29837.8</v>
      </c>
      <c r="M340" s="9" t="n">
        <f aca="false">L340-$C340</f>
        <v>29837.8</v>
      </c>
      <c r="N340" s="9" t="n">
        <f aca="false">N339+M340</f>
        <v>9600222.05999999</v>
      </c>
      <c r="O340" s="37" t="str">
        <f aca="false">IF(AND(N339&lt;0,N340&gt;=0,A340&lt;=MAX(120,Premissas!$B$15*12)),(A340-1)+(-N339)/M340,"")</f>
        <v/>
      </c>
      <c r="P340" s="9" t="n">
        <f aca="false">Resultados!$B$19*$B340-Resultados!$B$20*$B340-Premissas!$B$24-Resultados!$B$19*$B340*(Premissas!$B$14/100)</f>
        <v>24432.4</v>
      </c>
      <c r="Q340" s="9" t="n">
        <f aca="false">P340-$C340</f>
        <v>24432.4</v>
      </c>
      <c r="R340" s="9" t="n">
        <f aca="false">R339+Q340</f>
        <v>7801845.48000004</v>
      </c>
      <c r="S340" s="37" t="str">
        <f aca="false">IF(AND(R339&lt;0,R340&gt;=0,A340&lt;=MAX(120,Premissas!$B$15*12)),(A340-1)+(-R339)/Q340,"")</f>
        <v/>
      </c>
    </row>
    <row r="341" customFormat="false" ht="15" hidden="false" customHeight="false" outlineLevel="0" collapsed="false">
      <c r="A341" s="10" t="n">
        <f aca="false">A340+1</f>
        <v>337</v>
      </c>
      <c r="B341" s="36" t="n">
        <f aca="false">IF(Premissas!$B$9&lt;=1,1,MIN(1,Premissas!$B$8/100+(1-Premissas!$B$8/100)*(A341-1)/(Premissas!$B$9-1)))</f>
        <v>1</v>
      </c>
      <c r="C341" s="9" t="n">
        <f aca="false">IF(A341&lt;=Resultados!$B$9,Resultados!$B$10,0)</f>
        <v>0</v>
      </c>
      <c r="D341" s="9" t="n">
        <f aca="false">Resultados!$E$37*$B341-Resultados!$F$37*$B341-Premissas!$B$24-Resultados!$E$37*$B341*(Premissas!$B$14/100)</f>
        <v>19027</v>
      </c>
      <c r="E341" s="9" t="n">
        <f aca="false">D341-$C341</f>
        <v>19027</v>
      </c>
      <c r="F341" s="9" t="n">
        <f aca="false">F340+E341</f>
        <v>6022495.9</v>
      </c>
      <c r="G341" s="37" t="str">
        <f aca="false">IF(AND(F340&lt;0,F341&gt;=0,A341&lt;=MAX(120,Premissas!$B$15*12)),(A341-1)+(-F340)/E341,"")</f>
        <v/>
      </c>
      <c r="H341" s="9" t="n">
        <f aca="false">Resultados!$E$38*$B341-Resultados!$F$38*$B341-Premissas!$B$24-Resultados!$E$38*$B341*(Premissas!$B$14/100)</f>
        <v>24432.4</v>
      </c>
      <c r="I341" s="9" t="n">
        <f aca="false">H341-$C341</f>
        <v>24432.4</v>
      </c>
      <c r="J341" s="9" t="n">
        <f aca="false">J340+I341</f>
        <v>7826277.88000005</v>
      </c>
      <c r="K341" s="37" t="str">
        <f aca="false">IF(AND(J340&lt;0,J341&gt;=0,A341&lt;=MAX(120,Premissas!$B$15*12)),(A341-1)+(-J340)/I341,"")</f>
        <v/>
      </c>
      <c r="L341" s="9" t="n">
        <f aca="false">Resultados!$E$39*$B341-Resultados!$F$39*$B341-Premissas!$B$24-Resultados!$E$39*$B341*(Premissas!$B$14/100)</f>
        <v>29837.8</v>
      </c>
      <c r="M341" s="9" t="n">
        <f aca="false">L341-$C341</f>
        <v>29837.8</v>
      </c>
      <c r="N341" s="9" t="n">
        <f aca="false">N340+M341</f>
        <v>9630059.85999999</v>
      </c>
      <c r="O341" s="37" t="str">
        <f aca="false">IF(AND(N340&lt;0,N341&gt;=0,A341&lt;=MAX(120,Premissas!$B$15*12)),(A341-1)+(-N340)/M341,"")</f>
        <v/>
      </c>
      <c r="P341" s="9" t="n">
        <f aca="false">Resultados!$B$19*$B341-Resultados!$B$20*$B341-Premissas!$B$24-Resultados!$B$19*$B341*(Premissas!$B$14/100)</f>
        <v>24432.4</v>
      </c>
      <c r="Q341" s="9" t="n">
        <f aca="false">P341-$C341</f>
        <v>24432.4</v>
      </c>
      <c r="R341" s="9" t="n">
        <f aca="false">R340+Q341</f>
        <v>7826277.88000005</v>
      </c>
      <c r="S341" s="37" t="str">
        <f aca="false">IF(AND(R340&lt;0,R341&gt;=0,A341&lt;=MAX(120,Premissas!$B$15*12)),(A341-1)+(-R340)/Q341,"")</f>
        <v/>
      </c>
    </row>
    <row r="342" customFormat="false" ht="15" hidden="false" customHeight="false" outlineLevel="0" collapsed="false">
      <c r="A342" s="10" t="n">
        <f aca="false">A341+1</f>
        <v>338</v>
      </c>
      <c r="B342" s="36" t="n">
        <f aca="false">IF(Premissas!$B$9&lt;=1,1,MIN(1,Premissas!$B$8/100+(1-Premissas!$B$8/100)*(A342-1)/(Premissas!$B$9-1)))</f>
        <v>1</v>
      </c>
      <c r="C342" s="9" t="n">
        <f aca="false">IF(A342&lt;=Resultados!$B$9,Resultados!$B$10,0)</f>
        <v>0</v>
      </c>
      <c r="D342" s="9" t="n">
        <f aca="false">Resultados!$E$37*$B342-Resultados!$F$37*$B342-Premissas!$B$24-Resultados!$E$37*$B342*(Premissas!$B$14/100)</f>
        <v>19027</v>
      </c>
      <c r="E342" s="9" t="n">
        <f aca="false">D342-$C342</f>
        <v>19027</v>
      </c>
      <c r="F342" s="9" t="n">
        <f aca="false">F341+E342</f>
        <v>6041522.9</v>
      </c>
      <c r="G342" s="37" t="str">
        <f aca="false">IF(AND(F341&lt;0,F342&gt;=0,A342&lt;=MAX(120,Premissas!$B$15*12)),(A342-1)+(-F341)/E342,"")</f>
        <v/>
      </c>
      <c r="H342" s="9" t="n">
        <f aca="false">Resultados!$E$38*$B342-Resultados!$F$38*$B342-Premissas!$B$24-Resultados!$E$38*$B342*(Premissas!$B$14/100)</f>
        <v>24432.4</v>
      </c>
      <c r="I342" s="9" t="n">
        <f aca="false">H342-$C342</f>
        <v>24432.4</v>
      </c>
      <c r="J342" s="9" t="n">
        <f aca="false">J341+I342</f>
        <v>7850710.28000005</v>
      </c>
      <c r="K342" s="37" t="str">
        <f aca="false">IF(AND(J341&lt;0,J342&gt;=0,A342&lt;=MAX(120,Premissas!$B$15*12)),(A342-1)+(-J341)/I342,"")</f>
        <v/>
      </c>
      <c r="L342" s="9" t="n">
        <f aca="false">Resultados!$E$39*$B342-Resultados!$F$39*$B342-Premissas!$B$24-Resultados!$E$39*$B342*(Premissas!$B$14/100)</f>
        <v>29837.8</v>
      </c>
      <c r="M342" s="9" t="n">
        <f aca="false">L342-$C342</f>
        <v>29837.8</v>
      </c>
      <c r="N342" s="9" t="n">
        <f aca="false">N341+M342</f>
        <v>9659897.66</v>
      </c>
      <c r="O342" s="37" t="str">
        <f aca="false">IF(AND(N341&lt;0,N342&gt;=0,A342&lt;=MAX(120,Premissas!$B$15*12)),(A342-1)+(-N341)/M342,"")</f>
        <v/>
      </c>
      <c r="P342" s="9" t="n">
        <f aca="false">Resultados!$B$19*$B342-Resultados!$B$20*$B342-Premissas!$B$24-Resultados!$B$19*$B342*(Premissas!$B$14/100)</f>
        <v>24432.4</v>
      </c>
      <c r="Q342" s="9" t="n">
        <f aca="false">P342-$C342</f>
        <v>24432.4</v>
      </c>
      <c r="R342" s="9" t="n">
        <f aca="false">R341+Q342</f>
        <v>7850710.28000005</v>
      </c>
      <c r="S342" s="37" t="str">
        <f aca="false">IF(AND(R341&lt;0,R342&gt;=0,A342&lt;=MAX(120,Premissas!$B$15*12)),(A342-1)+(-R341)/Q342,"")</f>
        <v/>
      </c>
    </row>
    <row r="343" customFormat="false" ht="15" hidden="false" customHeight="false" outlineLevel="0" collapsed="false">
      <c r="A343" s="10" t="n">
        <f aca="false">A342+1</f>
        <v>339</v>
      </c>
      <c r="B343" s="36" t="n">
        <f aca="false">IF(Premissas!$B$9&lt;=1,1,MIN(1,Premissas!$B$8/100+(1-Premissas!$B$8/100)*(A343-1)/(Premissas!$B$9-1)))</f>
        <v>1</v>
      </c>
      <c r="C343" s="9" t="n">
        <f aca="false">IF(A343&lt;=Resultados!$B$9,Resultados!$B$10,0)</f>
        <v>0</v>
      </c>
      <c r="D343" s="9" t="n">
        <f aca="false">Resultados!$E$37*$B343-Resultados!$F$37*$B343-Premissas!$B$24-Resultados!$E$37*$B343*(Premissas!$B$14/100)</f>
        <v>19027</v>
      </c>
      <c r="E343" s="9" t="n">
        <f aca="false">D343-$C343</f>
        <v>19027</v>
      </c>
      <c r="F343" s="9" t="n">
        <f aca="false">F342+E343</f>
        <v>6060549.9</v>
      </c>
      <c r="G343" s="37" t="str">
        <f aca="false">IF(AND(F342&lt;0,F343&gt;=0,A343&lt;=MAX(120,Premissas!$B$15*12)),(A343-1)+(-F342)/E343,"")</f>
        <v/>
      </c>
      <c r="H343" s="9" t="n">
        <f aca="false">Resultados!$E$38*$B343-Resultados!$F$38*$B343-Premissas!$B$24-Resultados!$E$38*$B343*(Premissas!$B$14/100)</f>
        <v>24432.4</v>
      </c>
      <c r="I343" s="9" t="n">
        <f aca="false">H343-$C343</f>
        <v>24432.4</v>
      </c>
      <c r="J343" s="9" t="n">
        <f aca="false">J342+I343</f>
        <v>7875142.68000005</v>
      </c>
      <c r="K343" s="37" t="str">
        <f aca="false">IF(AND(J342&lt;0,J343&gt;=0,A343&lt;=MAX(120,Premissas!$B$15*12)),(A343-1)+(-J342)/I343,"")</f>
        <v/>
      </c>
      <c r="L343" s="9" t="n">
        <f aca="false">Resultados!$E$39*$B343-Resultados!$F$39*$B343-Premissas!$B$24-Resultados!$E$39*$B343*(Premissas!$B$14/100)</f>
        <v>29837.8</v>
      </c>
      <c r="M343" s="9" t="n">
        <f aca="false">L343-$C343</f>
        <v>29837.8</v>
      </c>
      <c r="N343" s="9" t="n">
        <f aca="false">N342+M343</f>
        <v>9689735.46</v>
      </c>
      <c r="O343" s="37" t="str">
        <f aca="false">IF(AND(N342&lt;0,N343&gt;=0,A343&lt;=MAX(120,Premissas!$B$15*12)),(A343-1)+(-N342)/M343,"")</f>
        <v/>
      </c>
      <c r="P343" s="9" t="n">
        <f aca="false">Resultados!$B$19*$B343-Resultados!$B$20*$B343-Premissas!$B$24-Resultados!$B$19*$B343*(Premissas!$B$14/100)</f>
        <v>24432.4</v>
      </c>
      <c r="Q343" s="9" t="n">
        <f aca="false">P343-$C343</f>
        <v>24432.4</v>
      </c>
      <c r="R343" s="9" t="n">
        <f aca="false">R342+Q343</f>
        <v>7875142.68000005</v>
      </c>
      <c r="S343" s="37" t="str">
        <f aca="false">IF(AND(R342&lt;0,R343&gt;=0,A343&lt;=MAX(120,Premissas!$B$15*12)),(A343-1)+(-R342)/Q343,"")</f>
        <v/>
      </c>
    </row>
    <row r="344" customFormat="false" ht="15" hidden="false" customHeight="false" outlineLevel="0" collapsed="false">
      <c r="A344" s="10" t="n">
        <f aca="false">A343+1</f>
        <v>340</v>
      </c>
      <c r="B344" s="36" t="n">
        <f aca="false">IF(Premissas!$B$9&lt;=1,1,MIN(1,Premissas!$B$8/100+(1-Premissas!$B$8/100)*(A344-1)/(Premissas!$B$9-1)))</f>
        <v>1</v>
      </c>
      <c r="C344" s="9" t="n">
        <f aca="false">IF(A344&lt;=Resultados!$B$9,Resultados!$B$10,0)</f>
        <v>0</v>
      </c>
      <c r="D344" s="9" t="n">
        <f aca="false">Resultados!$E$37*$B344-Resultados!$F$37*$B344-Premissas!$B$24-Resultados!$E$37*$B344*(Premissas!$B$14/100)</f>
        <v>19027</v>
      </c>
      <c r="E344" s="9" t="n">
        <f aca="false">D344-$C344</f>
        <v>19027</v>
      </c>
      <c r="F344" s="9" t="n">
        <f aca="false">F343+E344</f>
        <v>6079576.9</v>
      </c>
      <c r="G344" s="37" t="str">
        <f aca="false">IF(AND(F343&lt;0,F344&gt;=0,A344&lt;=MAX(120,Premissas!$B$15*12)),(A344-1)+(-F343)/E344,"")</f>
        <v/>
      </c>
      <c r="H344" s="9" t="n">
        <f aca="false">Resultados!$E$38*$B344-Resultados!$F$38*$B344-Premissas!$B$24-Resultados!$E$38*$B344*(Premissas!$B$14/100)</f>
        <v>24432.4</v>
      </c>
      <c r="I344" s="9" t="n">
        <f aca="false">H344-$C344</f>
        <v>24432.4</v>
      </c>
      <c r="J344" s="9" t="n">
        <f aca="false">J343+I344</f>
        <v>7899575.08000005</v>
      </c>
      <c r="K344" s="37" t="str">
        <f aca="false">IF(AND(J343&lt;0,J344&gt;=0,A344&lt;=MAX(120,Premissas!$B$15*12)),(A344-1)+(-J343)/I344,"")</f>
        <v/>
      </c>
      <c r="L344" s="9" t="n">
        <f aca="false">Resultados!$E$39*$B344-Resultados!$F$39*$B344-Premissas!$B$24-Resultados!$E$39*$B344*(Premissas!$B$14/100)</f>
        <v>29837.8</v>
      </c>
      <c r="M344" s="9" t="n">
        <f aca="false">L344-$C344</f>
        <v>29837.8</v>
      </c>
      <c r="N344" s="9" t="n">
        <f aca="false">N343+M344</f>
        <v>9719573.26</v>
      </c>
      <c r="O344" s="37" t="str">
        <f aca="false">IF(AND(N343&lt;0,N344&gt;=0,A344&lt;=MAX(120,Premissas!$B$15*12)),(A344-1)+(-N343)/M344,"")</f>
        <v/>
      </c>
      <c r="P344" s="9" t="n">
        <f aca="false">Resultados!$B$19*$B344-Resultados!$B$20*$B344-Premissas!$B$24-Resultados!$B$19*$B344*(Premissas!$B$14/100)</f>
        <v>24432.4</v>
      </c>
      <c r="Q344" s="9" t="n">
        <f aca="false">P344-$C344</f>
        <v>24432.4</v>
      </c>
      <c r="R344" s="9" t="n">
        <f aca="false">R343+Q344</f>
        <v>7899575.08000005</v>
      </c>
      <c r="S344" s="37" t="str">
        <f aca="false">IF(AND(R343&lt;0,R344&gt;=0,A344&lt;=MAX(120,Premissas!$B$15*12)),(A344-1)+(-R343)/Q344,"")</f>
        <v/>
      </c>
    </row>
    <row r="345" customFormat="false" ht="15" hidden="false" customHeight="false" outlineLevel="0" collapsed="false">
      <c r="A345" s="10" t="n">
        <f aca="false">A344+1</f>
        <v>341</v>
      </c>
      <c r="B345" s="36" t="n">
        <f aca="false">IF(Premissas!$B$9&lt;=1,1,MIN(1,Premissas!$B$8/100+(1-Premissas!$B$8/100)*(A345-1)/(Premissas!$B$9-1)))</f>
        <v>1</v>
      </c>
      <c r="C345" s="9" t="n">
        <f aca="false">IF(A345&lt;=Resultados!$B$9,Resultados!$B$10,0)</f>
        <v>0</v>
      </c>
      <c r="D345" s="9" t="n">
        <f aca="false">Resultados!$E$37*$B345-Resultados!$F$37*$B345-Premissas!$B$24-Resultados!$E$37*$B345*(Premissas!$B$14/100)</f>
        <v>19027</v>
      </c>
      <c r="E345" s="9" t="n">
        <f aca="false">D345-$C345</f>
        <v>19027</v>
      </c>
      <c r="F345" s="9" t="n">
        <f aca="false">F344+E345</f>
        <v>6098603.9</v>
      </c>
      <c r="G345" s="37" t="str">
        <f aca="false">IF(AND(F344&lt;0,F345&gt;=0,A345&lt;=MAX(120,Premissas!$B$15*12)),(A345-1)+(-F344)/E345,"")</f>
        <v/>
      </c>
      <c r="H345" s="9" t="n">
        <f aca="false">Resultados!$E$38*$B345-Resultados!$F$38*$B345-Premissas!$B$24-Resultados!$E$38*$B345*(Premissas!$B$14/100)</f>
        <v>24432.4</v>
      </c>
      <c r="I345" s="9" t="n">
        <f aca="false">H345-$C345</f>
        <v>24432.4</v>
      </c>
      <c r="J345" s="9" t="n">
        <f aca="false">J344+I345</f>
        <v>7924007.48000005</v>
      </c>
      <c r="K345" s="37" t="str">
        <f aca="false">IF(AND(J344&lt;0,J345&gt;=0,A345&lt;=MAX(120,Premissas!$B$15*12)),(A345-1)+(-J344)/I345,"")</f>
        <v/>
      </c>
      <c r="L345" s="9" t="n">
        <f aca="false">Resultados!$E$39*$B345-Resultados!$F$39*$B345-Premissas!$B$24-Resultados!$E$39*$B345*(Premissas!$B$14/100)</f>
        <v>29837.8</v>
      </c>
      <c r="M345" s="9" t="n">
        <f aca="false">L345-$C345</f>
        <v>29837.8</v>
      </c>
      <c r="N345" s="9" t="n">
        <f aca="false">N344+M345</f>
        <v>9749411.06</v>
      </c>
      <c r="O345" s="37" t="str">
        <f aca="false">IF(AND(N344&lt;0,N345&gt;=0,A345&lt;=MAX(120,Premissas!$B$15*12)),(A345-1)+(-N344)/M345,"")</f>
        <v/>
      </c>
      <c r="P345" s="9" t="n">
        <f aca="false">Resultados!$B$19*$B345-Resultados!$B$20*$B345-Premissas!$B$24-Resultados!$B$19*$B345*(Premissas!$B$14/100)</f>
        <v>24432.4</v>
      </c>
      <c r="Q345" s="9" t="n">
        <f aca="false">P345-$C345</f>
        <v>24432.4</v>
      </c>
      <c r="R345" s="9" t="n">
        <f aca="false">R344+Q345</f>
        <v>7924007.48000005</v>
      </c>
      <c r="S345" s="37" t="str">
        <f aca="false">IF(AND(R344&lt;0,R345&gt;=0,A345&lt;=MAX(120,Premissas!$B$15*12)),(A345-1)+(-R344)/Q345,"")</f>
        <v/>
      </c>
    </row>
    <row r="346" customFormat="false" ht="15" hidden="false" customHeight="false" outlineLevel="0" collapsed="false">
      <c r="A346" s="10" t="n">
        <f aca="false">A345+1</f>
        <v>342</v>
      </c>
      <c r="B346" s="36" t="n">
        <f aca="false">IF(Premissas!$B$9&lt;=1,1,MIN(1,Premissas!$B$8/100+(1-Premissas!$B$8/100)*(A346-1)/(Premissas!$B$9-1)))</f>
        <v>1</v>
      </c>
      <c r="C346" s="9" t="n">
        <f aca="false">IF(A346&lt;=Resultados!$B$9,Resultados!$B$10,0)</f>
        <v>0</v>
      </c>
      <c r="D346" s="9" t="n">
        <f aca="false">Resultados!$E$37*$B346-Resultados!$F$37*$B346-Premissas!$B$24-Resultados!$E$37*$B346*(Premissas!$B$14/100)</f>
        <v>19027</v>
      </c>
      <c r="E346" s="9" t="n">
        <f aca="false">D346-$C346</f>
        <v>19027</v>
      </c>
      <c r="F346" s="9" t="n">
        <f aca="false">F345+E346</f>
        <v>6117630.9</v>
      </c>
      <c r="G346" s="37" t="str">
        <f aca="false">IF(AND(F345&lt;0,F346&gt;=0,A346&lt;=MAX(120,Premissas!$B$15*12)),(A346-1)+(-F345)/E346,"")</f>
        <v/>
      </c>
      <c r="H346" s="9" t="n">
        <f aca="false">Resultados!$E$38*$B346-Resultados!$F$38*$B346-Premissas!$B$24-Resultados!$E$38*$B346*(Premissas!$B$14/100)</f>
        <v>24432.4</v>
      </c>
      <c r="I346" s="9" t="n">
        <f aca="false">H346-$C346</f>
        <v>24432.4</v>
      </c>
      <c r="J346" s="9" t="n">
        <f aca="false">J345+I346</f>
        <v>7948439.88000005</v>
      </c>
      <c r="K346" s="37" t="str">
        <f aca="false">IF(AND(J345&lt;0,J346&gt;=0,A346&lt;=MAX(120,Premissas!$B$15*12)),(A346-1)+(-J345)/I346,"")</f>
        <v/>
      </c>
      <c r="L346" s="9" t="n">
        <f aca="false">Resultados!$E$39*$B346-Resultados!$F$39*$B346-Premissas!$B$24-Resultados!$E$39*$B346*(Premissas!$B$14/100)</f>
        <v>29837.8</v>
      </c>
      <c r="M346" s="9" t="n">
        <f aca="false">L346-$C346</f>
        <v>29837.8</v>
      </c>
      <c r="N346" s="9" t="n">
        <f aca="false">N345+M346</f>
        <v>9779248.86</v>
      </c>
      <c r="O346" s="37" t="str">
        <f aca="false">IF(AND(N345&lt;0,N346&gt;=0,A346&lt;=MAX(120,Premissas!$B$15*12)),(A346-1)+(-N345)/M346,"")</f>
        <v/>
      </c>
      <c r="P346" s="9" t="n">
        <f aca="false">Resultados!$B$19*$B346-Resultados!$B$20*$B346-Premissas!$B$24-Resultados!$B$19*$B346*(Premissas!$B$14/100)</f>
        <v>24432.4</v>
      </c>
      <c r="Q346" s="9" t="n">
        <f aca="false">P346-$C346</f>
        <v>24432.4</v>
      </c>
      <c r="R346" s="9" t="n">
        <f aca="false">R345+Q346</f>
        <v>7948439.88000005</v>
      </c>
      <c r="S346" s="37" t="str">
        <f aca="false">IF(AND(R345&lt;0,R346&gt;=0,A346&lt;=MAX(120,Premissas!$B$15*12)),(A346-1)+(-R345)/Q346,"")</f>
        <v/>
      </c>
    </row>
    <row r="347" customFormat="false" ht="15" hidden="false" customHeight="false" outlineLevel="0" collapsed="false">
      <c r="A347" s="10" t="n">
        <f aca="false">A346+1</f>
        <v>343</v>
      </c>
      <c r="B347" s="36" t="n">
        <f aca="false">IF(Premissas!$B$9&lt;=1,1,MIN(1,Premissas!$B$8/100+(1-Premissas!$B$8/100)*(A347-1)/(Premissas!$B$9-1)))</f>
        <v>1</v>
      </c>
      <c r="C347" s="9" t="n">
        <f aca="false">IF(A347&lt;=Resultados!$B$9,Resultados!$B$10,0)</f>
        <v>0</v>
      </c>
      <c r="D347" s="9" t="n">
        <f aca="false">Resultados!$E$37*$B347-Resultados!$F$37*$B347-Premissas!$B$24-Resultados!$E$37*$B347*(Premissas!$B$14/100)</f>
        <v>19027</v>
      </c>
      <c r="E347" s="9" t="n">
        <f aca="false">D347-$C347</f>
        <v>19027</v>
      </c>
      <c r="F347" s="9" t="n">
        <f aca="false">F346+E347</f>
        <v>6136657.9</v>
      </c>
      <c r="G347" s="37" t="str">
        <f aca="false">IF(AND(F346&lt;0,F347&gt;=0,A347&lt;=MAX(120,Premissas!$B$15*12)),(A347-1)+(-F346)/E347,"")</f>
        <v/>
      </c>
      <c r="H347" s="9" t="n">
        <f aca="false">Resultados!$E$38*$B347-Resultados!$F$38*$B347-Premissas!$B$24-Resultados!$E$38*$B347*(Premissas!$B$14/100)</f>
        <v>24432.4</v>
      </c>
      <c r="I347" s="9" t="n">
        <f aca="false">H347-$C347</f>
        <v>24432.4</v>
      </c>
      <c r="J347" s="9" t="n">
        <f aca="false">J346+I347</f>
        <v>7972872.28000005</v>
      </c>
      <c r="K347" s="37" t="str">
        <f aca="false">IF(AND(J346&lt;0,J347&gt;=0,A347&lt;=MAX(120,Premissas!$B$15*12)),(A347-1)+(-J346)/I347,"")</f>
        <v/>
      </c>
      <c r="L347" s="9" t="n">
        <f aca="false">Resultados!$E$39*$B347-Resultados!$F$39*$B347-Premissas!$B$24-Resultados!$E$39*$B347*(Premissas!$B$14/100)</f>
        <v>29837.8</v>
      </c>
      <c r="M347" s="9" t="n">
        <f aca="false">L347-$C347</f>
        <v>29837.8</v>
      </c>
      <c r="N347" s="9" t="n">
        <f aca="false">N346+M347</f>
        <v>9809086.66</v>
      </c>
      <c r="O347" s="37" t="str">
        <f aca="false">IF(AND(N346&lt;0,N347&gt;=0,A347&lt;=MAX(120,Premissas!$B$15*12)),(A347-1)+(-N346)/M347,"")</f>
        <v/>
      </c>
      <c r="P347" s="9" t="n">
        <f aca="false">Resultados!$B$19*$B347-Resultados!$B$20*$B347-Premissas!$B$24-Resultados!$B$19*$B347*(Premissas!$B$14/100)</f>
        <v>24432.4</v>
      </c>
      <c r="Q347" s="9" t="n">
        <f aca="false">P347-$C347</f>
        <v>24432.4</v>
      </c>
      <c r="R347" s="9" t="n">
        <f aca="false">R346+Q347</f>
        <v>7972872.28000005</v>
      </c>
      <c r="S347" s="37" t="str">
        <f aca="false">IF(AND(R346&lt;0,R347&gt;=0,A347&lt;=MAX(120,Premissas!$B$15*12)),(A347-1)+(-R346)/Q347,"")</f>
        <v/>
      </c>
    </row>
    <row r="348" customFormat="false" ht="15" hidden="false" customHeight="false" outlineLevel="0" collapsed="false">
      <c r="A348" s="10" t="n">
        <f aca="false">A347+1</f>
        <v>344</v>
      </c>
      <c r="B348" s="36" t="n">
        <f aca="false">IF(Premissas!$B$9&lt;=1,1,MIN(1,Premissas!$B$8/100+(1-Premissas!$B$8/100)*(A348-1)/(Premissas!$B$9-1)))</f>
        <v>1</v>
      </c>
      <c r="C348" s="9" t="n">
        <f aca="false">IF(A348&lt;=Resultados!$B$9,Resultados!$B$10,0)</f>
        <v>0</v>
      </c>
      <c r="D348" s="9" t="n">
        <f aca="false">Resultados!$E$37*$B348-Resultados!$F$37*$B348-Premissas!$B$24-Resultados!$E$37*$B348*(Premissas!$B$14/100)</f>
        <v>19027</v>
      </c>
      <c r="E348" s="9" t="n">
        <f aca="false">D348-$C348</f>
        <v>19027</v>
      </c>
      <c r="F348" s="9" t="n">
        <f aca="false">F347+E348</f>
        <v>6155684.9</v>
      </c>
      <c r="G348" s="37" t="str">
        <f aca="false">IF(AND(F347&lt;0,F348&gt;=0,A348&lt;=MAX(120,Premissas!$B$15*12)),(A348-1)+(-F347)/E348,"")</f>
        <v/>
      </c>
      <c r="H348" s="9" t="n">
        <f aca="false">Resultados!$E$38*$B348-Resultados!$F$38*$B348-Premissas!$B$24-Resultados!$E$38*$B348*(Premissas!$B$14/100)</f>
        <v>24432.4</v>
      </c>
      <c r="I348" s="9" t="n">
        <f aca="false">H348-$C348</f>
        <v>24432.4</v>
      </c>
      <c r="J348" s="9" t="n">
        <f aca="false">J347+I348</f>
        <v>7997304.68000005</v>
      </c>
      <c r="K348" s="37" t="str">
        <f aca="false">IF(AND(J347&lt;0,J348&gt;=0,A348&lt;=MAX(120,Premissas!$B$15*12)),(A348-1)+(-J347)/I348,"")</f>
        <v/>
      </c>
      <c r="L348" s="9" t="n">
        <f aca="false">Resultados!$E$39*$B348-Resultados!$F$39*$B348-Premissas!$B$24-Resultados!$E$39*$B348*(Premissas!$B$14/100)</f>
        <v>29837.8</v>
      </c>
      <c r="M348" s="9" t="n">
        <f aca="false">L348-$C348</f>
        <v>29837.8</v>
      </c>
      <c r="N348" s="9" t="n">
        <f aca="false">N347+M348</f>
        <v>9838924.46</v>
      </c>
      <c r="O348" s="37" t="str">
        <f aca="false">IF(AND(N347&lt;0,N348&gt;=0,A348&lt;=MAX(120,Premissas!$B$15*12)),(A348-1)+(-N347)/M348,"")</f>
        <v/>
      </c>
      <c r="P348" s="9" t="n">
        <f aca="false">Resultados!$B$19*$B348-Resultados!$B$20*$B348-Premissas!$B$24-Resultados!$B$19*$B348*(Premissas!$B$14/100)</f>
        <v>24432.4</v>
      </c>
      <c r="Q348" s="9" t="n">
        <f aca="false">P348-$C348</f>
        <v>24432.4</v>
      </c>
      <c r="R348" s="9" t="n">
        <f aca="false">R347+Q348</f>
        <v>7997304.68000005</v>
      </c>
      <c r="S348" s="37" t="str">
        <f aca="false">IF(AND(R347&lt;0,R348&gt;=0,A348&lt;=MAX(120,Premissas!$B$15*12)),(A348-1)+(-R347)/Q348,"")</f>
        <v/>
      </c>
    </row>
    <row r="349" customFormat="false" ht="15" hidden="false" customHeight="false" outlineLevel="0" collapsed="false">
      <c r="A349" s="10" t="n">
        <f aca="false">A348+1</f>
        <v>345</v>
      </c>
      <c r="B349" s="36" t="n">
        <f aca="false">IF(Premissas!$B$9&lt;=1,1,MIN(1,Premissas!$B$8/100+(1-Premissas!$B$8/100)*(A349-1)/(Premissas!$B$9-1)))</f>
        <v>1</v>
      </c>
      <c r="C349" s="9" t="n">
        <f aca="false">IF(A349&lt;=Resultados!$B$9,Resultados!$B$10,0)</f>
        <v>0</v>
      </c>
      <c r="D349" s="9" t="n">
        <f aca="false">Resultados!$E$37*$B349-Resultados!$F$37*$B349-Premissas!$B$24-Resultados!$E$37*$B349*(Premissas!$B$14/100)</f>
        <v>19027</v>
      </c>
      <c r="E349" s="9" t="n">
        <f aca="false">D349-$C349</f>
        <v>19027</v>
      </c>
      <c r="F349" s="9" t="n">
        <f aca="false">F348+E349</f>
        <v>6174711.9</v>
      </c>
      <c r="G349" s="37" t="str">
        <f aca="false">IF(AND(F348&lt;0,F349&gt;=0,A349&lt;=MAX(120,Premissas!$B$15*12)),(A349-1)+(-F348)/E349,"")</f>
        <v/>
      </c>
      <c r="H349" s="9" t="n">
        <f aca="false">Resultados!$E$38*$B349-Resultados!$F$38*$B349-Premissas!$B$24-Resultados!$E$38*$B349*(Premissas!$B$14/100)</f>
        <v>24432.4</v>
      </c>
      <c r="I349" s="9" t="n">
        <f aca="false">H349-$C349</f>
        <v>24432.4</v>
      </c>
      <c r="J349" s="9" t="n">
        <f aca="false">J348+I349</f>
        <v>8021737.08000005</v>
      </c>
      <c r="K349" s="37" t="str">
        <f aca="false">IF(AND(J348&lt;0,J349&gt;=0,A349&lt;=MAX(120,Premissas!$B$15*12)),(A349-1)+(-J348)/I349,"")</f>
        <v/>
      </c>
      <c r="L349" s="9" t="n">
        <f aca="false">Resultados!$E$39*$B349-Resultados!$F$39*$B349-Premissas!$B$24-Resultados!$E$39*$B349*(Premissas!$B$14/100)</f>
        <v>29837.8</v>
      </c>
      <c r="M349" s="9" t="n">
        <f aca="false">L349-$C349</f>
        <v>29837.8</v>
      </c>
      <c r="N349" s="9" t="n">
        <f aca="false">N348+M349</f>
        <v>9868762.26</v>
      </c>
      <c r="O349" s="37" t="str">
        <f aca="false">IF(AND(N348&lt;0,N349&gt;=0,A349&lt;=MAX(120,Premissas!$B$15*12)),(A349-1)+(-N348)/M349,"")</f>
        <v/>
      </c>
      <c r="P349" s="9" t="n">
        <f aca="false">Resultados!$B$19*$B349-Resultados!$B$20*$B349-Premissas!$B$24-Resultados!$B$19*$B349*(Premissas!$B$14/100)</f>
        <v>24432.4</v>
      </c>
      <c r="Q349" s="9" t="n">
        <f aca="false">P349-$C349</f>
        <v>24432.4</v>
      </c>
      <c r="R349" s="9" t="n">
        <f aca="false">R348+Q349</f>
        <v>8021737.08000005</v>
      </c>
      <c r="S349" s="37" t="str">
        <f aca="false">IF(AND(R348&lt;0,R349&gt;=0,A349&lt;=MAX(120,Premissas!$B$15*12)),(A349-1)+(-R348)/Q349,"")</f>
        <v/>
      </c>
    </row>
    <row r="350" customFormat="false" ht="15" hidden="false" customHeight="false" outlineLevel="0" collapsed="false">
      <c r="A350" s="10" t="n">
        <f aca="false">A349+1</f>
        <v>346</v>
      </c>
      <c r="B350" s="36" t="n">
        <f aca="false">IF(Premissas!$B$9&lt;=1,1,MIN(1,Premissas!$B$8/100+(1-Premissas!$B$8/100)*(A350-1)/(Premissas!$B$9-1)))</f>
        <v>1</v>
      </c>
      <c r="C350" s="9" t="n">
        <f aca="false">IF(A350&lt;=Resultados!$B$9,Resultados!$B$10,0)</f>
        <v>0</v>
      </c>
      <c r="D350" s="9" t="n">
        <f aca="false">Resultados!$E$37*$B350-Resultados!$F$37*$B350-Premissas!$B$24-Resultados!$E$37*$B350*(Premissas!$B$14/100)</f>
        <v>19027</v>
      </c>
      <c r="E350" s="9" t="n">
        <f aca="false">D350-$C350</f>
        <v>19027</v>
      </c>
      <c r="F350" s="9" t="n">
        <f aca="false">F349+E350</f>
        <v>6193738.9</v>
      </c>
      <c r="G350" s="37" t="str">
        <f aca="false">IF(AND(F349&lt;0,F350&gt;=0,A350&lt;=MAX(120,Premissas!$B$15*12)),(A350-1)+(-F349)/E350,"")</f>
        <v/>
      </c>
      <c r="H350" s="9" t="n">
        <f aca="false">Resultados!$E$38*$B350-Resultados!$F$38*$B350-Premissas!$B$24-Resultados!$E$38*$B350*(Premissas!$B$14/100)</f>
        <v>24432.4</v>
      </c>
      <c r="I350" s="9" t="n">
        <f aca="false">H350-$C350</f>
        <v>24432.4</v>
      </c>
      <c r="J350" s="9" t="n">
        <f aca="false">J349+I350</f>
        <v>8046169.48000005</v>
      </c>
      <c r="K350" s="37" t="str">
        <f aca="false">IF(AND(J349&lt;0,J350&gt;=0,A350&lt;=MAX(120,Premissas!$B$15*12)),(A350-1)+(-J349)/I350,"")</f>
        <v/>
      </c>
      <c r="L350" s="9" t="n">
        <f aca="false">Resultados!$E$39*$B350-Resultados!$F$39*$B350-Premissas!$B$24-Resultados!$E$39*$B350*(Premissas!$B$14/100)</f>
        <v>29837.8</v>
      </c>
      <c r="M350" s="9" t="n">
        <f aca="false">L350-$C350</f>
        <v>29837.8</v>
      </c>
      <c r="N350" s="9" t="n">
        <f aca="false">N349+M350</f>
        <v>9898600.06</v>
      </c>
      <c r="O350" s="37" t="str">
        <f aca="false">IF(AND(N349&lt;0,N350&gt;=0,A350&lt;=MAX(120,Premissas!$B$15*12)),(A350-1)+(-N349)/M350,"")</f>
        <v/>
      </c>
      <c r="P350" s="9" t="n">
        <f aca="false">Resultados!$B$19*$B350-Resultados!$B$20*$B350-Premissas!$B$24-Resultados!$B$19*$B350*(Premissas!$B$14/100)</f>
        <v>24432.4</v>
      </c>
      <c r="Q350" s="9" t="n">
        <f aca="false">P350-$C350</f>
        <v>24432.4</v>
      </c>
      <c r="R350" s="9" t="n">
        <f aca="false">R349+Q350</f>
        <v>8046169.48000005</v>
      </c>
      <c r="S350" s="37" t="str">
        <f aca="false">IF(AND(R349&lt;0,R350&gt;=0,A350&lt;=MAX(120,Premissas!$B$15*12)),(A350-1)+(-R349)/Q350,"")</f>
        <v/>
      </c>
    </row>
    <row r="351" customFormat="false" ht="15" hidden="false" customHeight="false" outlineLevel="0" collapsed="false">
      <c r="A351" s="10" t="n">
        <f aca="false">A350+1</f>
        <v>347</v>
      </c>
      <c r="B351" s="36" t="n">
        <f aca="false">IF(Premissas!$B$9&lt;=1,1,MIN(1,Premissas!$B$8/100+(1-Premissas!$B$8/100)*(A351-1)/(Premissas!$B$9-1)))</f>
        <v>1</v>
      </c>
      <c r="C351" s="9" t="n">
        <f aca="false">IF(A351&lt;=Resultados!$B$9,Resultados!$B$10,0)</f>
        <v>0</v>
      </c>
      <c r="D351" s="9" t="n">
        <f aca="false">Resultados!$E$37*$B351-Resultados!$F$37*$B351-Premissas!$B$24-Resultados!$E$37*$B351*(Premissas!$B$14/100)</f>
        <v>19027</v>
      </c>
      <c r="E351" s="9" t="n">
        <f aca="false">D351-$C351</f>
        <v>19027</v>
      </c>
      <c r="F351" s="9" t="n">
        <f aca="false">F350+E351</f>
        <v>6212765.9</v>
      </c>
      <c r="G351" s="37" t="str">
        <f aca="false">IF(AND(F350&lt;0,F351&gt;=0,A351&lt;=MAX(120,Premissas!$B$15*12)),(A351-1)+(-F350)/E351,"")</f>
        <v/>
      </c>
      <c r="H351" s="9" t="n">
        <f aca="false">Resultados!$E$38*$B351-Resultados!$F$38*$B351-Premissas!$B$24-Resultados!$E$38*$B351*(Premissas!$B$14/100)</f>
        <v>24432.4</v>
      </c>
      <c r="I351" s="9" t="n">
        <f aca="false">H351-$C351</f>
        <v>24432.4</v>
      </c>
      <c r="J351" s="9" t="n">
        <f aca="false">J350+I351</f>
        <v>8070601.88000005</v>
      </c>
      <c r="K351" s="37" t="str">
        <f aca="false">IF(AND(J350&lt;0,J351&gt;=0,A351&lt;=MAX(120,Premissas!$B$15*12)),(A351-1)+(-J350)/I351,"")</f>
        <v/>
      </c>
      <c r="L351" s="9" t="n">
        <f aca="false">Resultados!$E$39*$B351-Resultados!$F$39*$B351-Premissas!$B$24-Resultados!$E$39*$B351*(Premissas!$B$14/100)</f>
        <v>29837.8</v>
      </c>
      <c r="M351" s="9" t="n">
        <f aca="false">L351-$C351</f>
        <v>29837.8</v>
      </c>
      <c r="N351" s="9" t="n">
        <f aca="false">N350+M351</f>
        <v>9928437.86</v>
      </c>
      <c r="O351" s="37" t="str">
        <f aca="false">IF(AND(N350&lt;0,N351&gt;=0,A351&lt;=MAX(120,Premissas!$B$15*12)),(A351-1)+(-N350)/M351,"")</f>
        <v/>
      </c>
      <c r="P351" s="9" t="n">
        <f aca="false">Resultados!$B$19*$B351-Resultados!$B$20*$B351-Premissas!$B$24-Resultados!$B$19*$B351*(Premissas!$B$14/100)</f>
        <v>24432.4</v>
      </c>
      <c r="Q351" s="9" t="n">
        <f aca="false">P351-$C351</f>
        <v>24432.4</v>
      </c>
      <c r="R351" s="9" t="n">
        <f aca="false">R350+Q351</f>
        <v>8070601.88000005</v>
      </c>
      <c r="S351" s="37" t="str">
        <f aca="false">IF(AND(R350&lt;0,R351&gt;=0,A351&lt;=MAX(120,Premissas!$B$15*12)),(A351-1)+(-R350)/Q351,"")</f>
        <v/>
      </c>
    </row>
    <row r="352" customFormat="false" ht="15" hidden="false" customHeight="false" outlineLevel="0" collapsed="false">
      <c r="A352" s="10" t="n">
        <f aca="false">A351+1</f>
        <v>348</v>
      </c>
      <c r="B352" s="36" t="n">
        <f aca="false">IF(Premissas!$B$9&lt;=1,1,MIN(1,Premissas!$B$8/100+(1-Premissas!$B$8/100)*(A352-1)/(Premissas!$B$9-1)))</f>
        <v>1</v>
      </c>
      <c r="C352" s="9" t="n">
        <f aca="false">IF(A352&lt;=Resultados!$B$9,Resultados!$B$10,0)</f>
        <v>0</v>
      </c>
      <c r="D352" s="9" t="n">
        <f aca="false">Resultados!$E$37*$B352-Resultados!$F$37*$B352-Premissas!$B$24-Resultados!$E$37*$B352*(Premissas!$B$14/100)</f>
        <v>19027</v>
      </c>
      <c r="E352" s="9" t="n">
        <f aca="false">D352-$C352</f>
        <v>19027</v>
      </c>
      <c r="F352" s="9" t="n">
        <f aca="false">F351+E352</f>
        <v>6231792.9</v>
      </c>
      <c r="G352" s="37" t="str">
        <f aca="false">IF(AND(F351&lt;0,F352&gt;=0,A352&lt;=MAX(120,Premissas!$B$15*12)),(A352-1)+(-F351)/E352,"")</f>
        <v/>
      </c>
      <c r="H352" s="9" t="n">
        <f aca="false">Resultados!$E$38*$B352-Resultados!$F$38*$B352-Premissas!$B$24-Resultados!$E$38*$B352*(Premissas!$B$14/100)</f>
        <v>24432.4</v>
      </c>
      <c r="I352" s="9" t="n">
        <f aca="false">H352-$C352</f>
        <v>24432.4</v>
      </c>
      <c r="J352" s="9" t="n">
        <f aca="false">J351+I352</f>
        <v>8095034.28000005</v>
      </c>
      <c r="K352" s="37" t="str">
        <f aca="false">IF(AND(J351&lt;0,J352&gt;=0,A352&lt;=MAX(120,Premissas!$B$15*12)),(A352-1)+(-J351)/I352,"")</f>
        <v/>
      </c>
      <c r="L352" s="9" t="n">
        <f aca="false">Resultados!$E$39*$B352-Resultados!$F$39*$B352-Premissas!$B$24-Resultados!$E$39*$B352*(Premissas!$B$14/100)</f>
        <v>29837.8</v>
      </c>
      <c r="M352" s="9" t="n">
        <f aca="false">L352-$C352</f>
        <v>29837.8</v>
      </c>
      <c r="N352" s="9" t="n">
        <f aca="false">N351+M352</f>
        <v>9958275.66</v>
      </c>
      <c r="O352" s="37" t="str">
        <f aca="false">IF(AND(N351&lt;0,N352&gt;=0,A352&lt;=MAX(120,Premissas!$B$15*12)),(A352-1)+(-N351)/M352,"")</f>
        <v/>
      </c>
      <c r="P352" s="9" t="n">
        <f aca="false">Resultados!$B$19*$B352-Resultados!$B$20*$B352-Premissas!$B$24-Resultados!$B$19*$B352*(Premissas!$B$14/100)</f>
        <v>24432.4</v>
      </c>
      <c r="Q352" s="9" t="n">
        <f aca="false">P352-$C352</f>
        <v>24432.4</v>
      </c>
      <c r="R352" s="9" t="n">
        <f aca="false">R351+Q352</f>
        <v>8095034.28000005</v>
      </c>
      <c r="S352" s="37" t="str">
        <f aca="false">IF(AND(R351&lt;0,R352&gt;=0,A352&lt;=MAX(120,Premissas!$B$15*12)),(A352-1)+(-R351)/Q352,"")</f>
        <v/>
      </c>
    </row>
    <row r="353" customFormat="false" ht="15" hidden="false" customHeight="false" outlineLevel="0" collapsed="false">
      <c r="A353" s="10" t="n">
        <f aca="false">A352+1</f>
        <v>349</v>
      </c>
      <c r="B353" s="36" t="n">
        <f aca="false">IF(Premissas!$B$9&lt;=1,1,MIN(1,Premissas!$B$8/100+(1-Premissas!$B$8/100)*(A353-1)/(Premissas!$B$9-1)))</f>
        <v>1</v>
      </c>
      <c r="C353" s="9" t="n">
        <f aca="false">IF(A353&lt;=Resultados!$B$9,Resultados!$B$10,0)</f>
        <v>0</v>
      </c>
      <c r="D353" s="9" t="n">
        <f aca="false">Resultados!$E$37*$B353-Resultados!$F$37*$B353-Premissas!$B$24-Resultados!$E$37*$B353*(Premissas!$B$14/100)</f>
        <v>19027</v>
      </c>
      <c r="E353" s="9" t="n">
        <f aca="false">D353-$C353</f>
        <v>19027</v>
      </c>
      <c r="F353" s="9" t="n">
        <f aca="false">F352+E353</f>
        <v>6250819.9</v>
      </c>
      <c r="G353" s="37" t="str">
        <f aca="false">IF(AND(F352&lt;0,F353&gt;=0,A353&lt;=MAX(120,Premissas!$B$15*12)),(A353-1)+(-F352)/E353,"")</f>
        <v/>
      </c>
      <c r="H353" s="9" t="n">
        <f aca="false">Resultados!$E$38*$B353-Resultados!$F$38*$B353-Premissas!$B$24-Resultados!$E$38*$B353*(Premissas!$B$14/100)</f>
        <v>24432.4</v>
      </c>
      <c r="I353" s="9" t="n">
        <f aca="false">H353-$C353</f>
        <v>24432.4</v>
      </c>
      <c r="J353" s="9" t="n">
        <f aca="false">J352+I353</f>
        <v>8119466.68000005</v>
      </c>
      <c r="K353" s="37" t="str">
        <f aca="false">IF(AND(J352&lt;0,J353&gt;=0,A353&lt;=MAX(120,Premissas!$B$15*12)),(A353-1)+(-J352)/I353,"")</f>
        <v/>
      </c>
      <c r="L353" s="9" t="n">
        <f aca="false">Resultados!$E$39*$B353-Resultados!$F$39*$B353-Premissas!$B$24-Resultados!$E$39*$B353*(Premissas!$B$14/100)</f>
        <v>29837.8</v>
      </c>
      <c r="M353" s="9" t="n">
        <f aca="false">L353-$C353</f>
        <v>29837.8</v>
      </c>
      <c r="N353" s="9" t="n">
        <f aca="false">N352+M353</f>
        <v>9988113.46</v>
      </c>
      <c r="O353" s="37" t="str">
        <f aca="false">IF(AND(N352&lt;0,N353&gt;=0,A353&lt;=MAX(120,Premissas!$B$15*12)),(A353-1)+(-N352)/M353,"")</f>
        <v/>
      </c>
      <c r="P353" s="9" t="n">
        <f aca="false">Resultados!$B$19*$B353-Resultados!$B$20*$B353-Premissas!$B$24-Resultados!$B$19*$B353*(Premissas!$B$14/100)</f>
        <v>24432.4</v>
      </c>
      <c r="Q353" s="9" t="n">
        <f aca="false">P353-$C353</f>
        <v>24432.4</v>
      </c>
      <c r="R353" s="9" t="n">
        <f aca="false">R352+Q353</f>
        <v>8119466.68000005</v>
      </c>
      <c r="S353" s="37" t="str">
        <f aca="false">IF(AND(R352&lt;0,R353&gt;=0,A353&lt;=MAX(120,Premissas!$B$15*12)),(A353-1)+(-R352)/Q353,"")</f>
        <v/>
      </c>
    </row>
    <row r="354" customFormat="false" ht="15" hidden="false" customHeight="false" outlineLevel="0" collapsed="false">
      <c r="A354" s="10" t="n">
        <f aca="false">A353+1</f>
        <v>350</v>
      </c>
      <c r="B354" s="36" t="n">
        <f aca="false">IF(Premissas!$B$9&lt;=1,1,MIN(1,Premissas!$B$8/100+(1-Premissas!$B$8/100)*(A354-1)/(Premissas!$B$9-1)))</f>
        <v>1</v>
      </c>
      <c r="C354" s="9" t="n">
        <f aca="false">IF(A354&lt;=Resultados!$B$9,Resultados!$B$10,0)</f>
        <v>0</v>
      </c>
      <c r="D354" s="9" t="n">
        <f aca="false">Resultados!$E$37*$B354-Resultados!$F$37*$B354-Premissas!$B$24-Resultados!$E$37*$B354*(Premissas!$B$14/100)</f>
        <v>19027</v>
      </c>
      <c r="E354" s="9" t="n">
        <f aca="false">D354-$C354</f>
        <v>19027</v>
      </c>
      <c r="F354" s="9" t="n">
        <f aca="false">F353+E354</f>
        <v>6269846.9</v>
      </c>
      <c r="G354" s="37" t="str">
        <f aca="false">IF(AND(F353&lt;0,F354&gt;=0,A354&lt;=MAX(120,Premissas!$B$15*12)),(A354-1)+(-F353)/E354,"")</f>
        <v/>
      </c>
      <c r="H354" s="9" t="n">
        <f aca="false">Resultados!$E$38*$B354-Resultados!$F$38*$B354-Premissas!$B$24-Resultados!$E$38*$B354*(Premissas!$B$14/100)</f>
        <v>24432.4</v>
      </c>
      <c r="I354" s="9" t="n">
        <f aca="false">H354-$C354</f>
        <v>24432.4</v>
      </c>
      <c r="J354" s="9" t="n">
        <f aca="false">J353+I354</f>
        <v>8143899.08000005</v>
      </c>
      <c r="K354" s="37" t="str">
        <f aca="false">IF(AND(J353&lt;0,J354&gt;=0,A354&lt;=MAX(120,Premissas!$B$15*12)),(A354-1)+(-J353)/I354,"")</f>
        <v/>
      </c>
      <c r="L354" s="9" t="n">
        <f aca="false">Resultados!$E$39*$B354-Resultados!$F$39*$B354-Premissas!$B$24-Resultados!$E$39*$B354*(Premissas!$B$14/100)</f>
        <v>29837.8</v>
      </c>
      <c r="M354" s="9" t="n">
        <f aca="false">L354-$C354</f>
        <v>29837.8</v>
      </c>
      <c r="N354" s="9" t="n">
        <f aca="false">N353+M354</f>
        <v>10017951.26</v>
      </c>
      <c r="O354" s="37" t="str">
        <f aca="false">IF(AND(N353&lt;0,N354&gt;=0,A354&lt;=MAX(120,Premissas!$B$15*12)),(A354-1)+(-N353)/M354,"")</f>
        <v/>
      </c>
      <c r="P354" s="9" t="n">
        <f aca="false">Resultados!$B$19*$B354-Resultados!$B$20*$B354-Premissas!$B$24-Resultados!$B$19*$B354*(Premissas!$B$14/100)</f>
        <v>24432.4</v>
      </c>
      <c r="Q354" s="9" t="n">
        <f aca="false">P354-$C354</f>
        <v>24432.4</v>
      </c>
      <c r="R354" s="9" t="n">
        <f aca="false">R353+Q354</f>
        <v>8143899.08000005</v>
      </c>
      <c r="S354" s="37" t="str">
        <f aca="false">IF(AND(R353&lt;0,R354&gt;=0,A354&lt;=MAX(120,Premissas!$B$15*12)),(A354-1)+(-R353)/Q354,"")</f>
        <v/>
      </c>
    </row>
    <row r="355" customFormat="false" ht="15" hidden="false" customHeight="false" outlineLevel="0" collapsed="false">
      <c r="A355" s="10" t="n">
        <f aca="false">A354+1</f>
        <v>351</v>
      </c>
      <c r="B355" s="36" t="n">
        <f aca="false">IF(Premissas!$B$9&lt;=1,1,MIN(1,Premissas!$B$8/100+(1-Premissas!$B$8/100)*(A355-1)/(Premissas!$B$9-1)))</f>
        <v>1</v>
      </c>
      <c r="C355" s="9" t="n">
        <f aca="false">IF(A355&lt;=Resultados!$B$9,Resultados!$B$10,0)</f>
        <v>0</v>
      </c>
      <c r="D355" s="9" t="n">
        <f aca="false">Resultados!$E$37*$B355-Resultados!$F$37*$B355-Premissas!$B$24-Resultados!$E$37*$B355*(Premissas!$B$14/100)</f>
        <v>19027</v>
      </c>
      <c r="E355" s="9" t="n">
        <f aca="false">D355-$C355</f>
        <v>19027</v>
      </c>
      <c r="F355" s="9" t="n">
        <f aca="false">F354+E355</f>
        <v>6288873.9</v>
      </c>
      <c r="G355" s="37" t="str">
        <f aca="false">IF(AND(F354&lt;0,F355&gt;=0,A355&lt;=MAX(120,Premissas!$B$15*12)),(A355-1)+(-F354)/E355,"")</f>
        <v/>
      </c>
      <c r="H355" s="9" t="n">
        <f aca="false">Resultados!$E$38*$B355-Resultados!$F$38*$B355-Premissas!$B$24-Resultados!$E$38*$B355*(Premissas!$B$14/100)</f>
        <v>24432.4</v>
      </c>
      <c r="I355" s="9" t="n">
        <f aca="false">H355-$C355</f>
        <v>24432.4</v>
      </c>
      <c r="J355" s="9" t="n">
        <f aca="false">J354+I355</f>
        <v>8168331.48000005</v>
      </c>
      <c r="K355" s="37" t="str">
        <f aca="false">IF(AND(J354&lt;0,J355&gt;=0,A355&lt;=MAX(120,Premissas!$B$15*12)),(A355-1)+(-J354)/I355,"")</f>
        <v/>
      </c>
      <c r="L355" s="9" t="n">
        <f aca="false">Resultados!$E$39*$B355-Resultados!$F$39*$B355-Premissas!$B$24-Resultados!$E$39*$B355*(Premissas!$B$14/100)</f>
        <v>29837.8</v>
      </c>
      <c r="M355" s="9" t="n">
        <f aca="false">L355-$C355</f>
        <v>29837.8</v>
      </c>
      <c r="N355" s="9" t="n">
        <f aca="false">N354+M355</f>
        <v>10047789.06</v>
      </c>
      <c r="O355" s="37" t="str">
        <f aca="false">IF(AND(N354&lt;0,N355&gt;=0,A355&lt;=MAX(120,Premissas!$B$15*12)),(A355-1)+(-N354)/M355,"")</f>
        <v/>
      </c>
      <c r="P355" s="9" t="n">
        <f aca="false">Resultados!$B$19*$B355-Resultados!$B$20*$B355-Premissas!$B$24-Resultados!$B$19*$B355*(Premissas!$B$14/100)</f>
        <v>24432.4</v>
      </c>
      <c r="Q355" s="9" t="n">
        <f aca="false">P355-$C355</f>
        <v>24432.4</v>
      </c>
      <c r="R355" s="9" t="n">
        <f aca="false">R354+Q355</f>
        <v>8168331.48000005</v>
      </c>
      <c r="S355" s="37" t="str">
        <f aca="false">IF(AND(R354&lt;0,R355&gt;=0,A355&lt;=MAX(120,Premissas!$B$15*12)),(A355-1)+(-R354)/Q355,"")</f>
        <v/>
      </c>
    </row>
    <row r="356" customFormat="false" ht="15" hidden="false" customHeight="false" outlineLevel="0" collapsed="false">
      <c r="A356" s="10" t="n">
        <f aca="false">A355+1</f>
        <v>352</v>
      </c>
      <c r="B356" s="36" t="n">
        <f aca="false">IF(Premissas!$B$9&lt;=1,1,MIN(1,Premissas!$B$8/100+(1-Premissas!$B$8/100)*(A356-1)/(Premissas!$B$9-1)))</f>
        <v>1</v>
      </c>
      <c r="C356" s="9" t="n">
        <f aca="false">IF(A356&lt;=Resultados!$B$9,Resultados!$B$10,0)</f>
        <v>0</v>
      </c>
      <c r="D356" s="9" t="n">
        <f aca="false">Resultados!$E$37*$B356-Resultados!$F$37*$B356-Premissas!$B$24-Resultados!$E$37*$B356*(Premissas!$B$14/100)</f>
        <v>19027</v>
      </c>
      <c r="E356" s="9" t="n">
        <f aca="false">D356-$C356</f>
        <v>19027</v>
      </c>
      <c r="F356" s="9" t="n">
        <f aca="false">F355+E356</f>
        <v>6307900.9</v>
      </c>
      <c r="G356" s="37" t="str">
        <f aca="false">IF(AND(F355&lt;0,F356&gt;=0,A356&lt;=MAX(120,Premissas!$B$15*12)),(A356-1)+(-F355)/E356,"")</f>
        <v/>
      </c>
      <c r="H356" s="9" t="n">
        <f aca="false">Resultados!$E$38*$B356-Resultados!$F$38*$B356-Premissas!$B$24-Resultados!$E$38*$B356*(Premissas!$B$14/100)</f>
        <v>24432.4</v>
      </c>
      <c r="I356" s="9" t="n">
        <f aca="false">H356-$C356</f>
        <v>24432.4</v>
      </c>
      <c r="J356" s="9" t="n">
        <f aca="false">J355+I356</f>
        <v>8192763.88000005</v>
      </c>
      <c r="K356" s="37" t="str">
        <f aca="false">IF(AND(J355&lt;0,J356&gt;=0,A356&lt;=MAX(120,Premissas!$B$15*12)),(A356-1)+(-J355)/I356,"")</f>
        <v/>
      </c>
      <c r="L356" s="9" t="n">
        <f aca="false">Resultados!$E$39*$B356-Resultados!$F$39*$B356-Premissas!$B$24-Resultados!$E$39*$B356*(Premissas!$B$14/100)</f>
        <v>29837.8</v>
      </c>
      <c r="M356" s="9" t="n">
        <f aca="false">L356-$C356</f>
        <v>29837.8</v>
      </c>
      <c r="N356" s="9" t="n">
        <f aca="false">N355+M356</f>
        <v>10077626.86</v>
      </c>
      <c r="O356" s="37" t="str">
        <f aca="false">IF(AND(N355&lt;0,N356&gt;=0,A356&lt;=MAX(120,Premissas!$B$15*12)),(A356-1)+(-N355)/M356,"")</f>
        <v/>
      </c>
      <c r="P356" s="9" t="n">
        <f aca="false">Resultados!$B$19*$B356-Resultados!$B$20*$B356-Premissas!$B$24-Resultados!$B$19*$B356*(Premissas!$B$14/100)</f>
        <v>24432.4</v>
      </c>
      <c r="Q356" s="9" t="n">
        <f aca="false">P356-$C356</f>
        <v>24432.4</v>
      </c>
      <c r="R356" s="9" t="n">
        <f aca="false">R355+Q356</f>
        <v>8192763.88000005</v>
      </c>
      <c r="S356" s="37" t="str">
        <f aca="false">IF(AND(R355&lt;0,R356&gt;=0,A356&lt;=MAX(120,Premissas!$B$15*12)),(A356-1)+(-R355)/Q356,"")</f>
        <v/>
      </c>
    </row>
    <row r="357" customFormat="false" ht="15" hidden="false" customHeight="false" outlineLevel="0" collapsed="false">
      <c r="A357" s="10" t="n">
        <f aca="false">A356+1</f>
        <v>353</v>
      </c>
      <c r="B357" s="36" t="n">
        <f aca="false">IF(Premissas!$B$9&lt;=1,1,MIN(1,Premissas!$B$8/100+(1-Premissas!$B$8/100)*(A357-1)/(Premissas!$B$9-1)))</f>
        <v>1</v>
      </c>
      <c r="C357" s="9" t="n">
        <f aca="false">IF(A357&lt;=Resultados!$B$9,Resultados!$B$10,0)</f>
        <v>0</v>
      </c>
      <c r="D357" s="9" t="n">
        <f aca="false">Resultados!$E$37*$B357-Resultados!$F$37*$B357-Premissas!$B$24-Resultados!$E$37*$B357*(Premissas!$B$14/100)</f>
        <v>19027</v>
      </c>
      <c r="E357" s="9" t="n">
        <f aca="false">D357-$C357</f>
        <v>19027</v>
      </c>
      <c r="F357" s="9" t="n">
        <f aca="false">F356+E357</f>
        <v>6326927.9</v>
      </c>
      <c r="G357" s="37" t="str">
        <f aca="false">IF(AND(F356&lt;0,F357&gt;=0,A357&lt;=MAX(120,Premissas!$B$15*12)),(A357-1)+(-F356)/E357,"")</f>
        <v/>
      </c>
      <c r="H357" s="9" t="n">
        <f aca="false">Resultados!$E$38*$B357-Resultados!$F$38*$B357-Premissas!$B$24-Resultados!$E$38*$B357*(Premissas!$B$14/100)</f>
        <v>24432.4</v>
      </c>
      <c r="I357" s="9" t="n">
        <f aca="false">H357-$C357</f>
        <v>24432.4</v>
      </c>
      <c r="J357" s="9" t="n">
        <f aca="false">J356+I357</f>
        <v>8217196.28000005</v>
      </c>
      <c r="K357" s="37" t="str">
        <f aca="false">IF(AND(J356&lt;0,J357&gt;=0,A357&lt;=MAX(120,Premissas!$B$15*12)),(A357-1)+(-J356)/I357,"")</f>
        <v/>
      </c>
      <c r="L357" s="9" t="n">
        <f aca="false">Resultados!$E$39*$B357-Resultados!$F$39*$B357-Premissas!$B$24-Resultados!$E$39*$B357*(Premissas!$B$14/100)</f>
        <v>29837.8</v>
      </c>
      <c r="M357" s="9" t="n">
        <f aca="false">L357-$C357</f>
        <v>29837.8</v>
      </c>
      <c r="N357" s="9" t="n">
        <f aca="false">N356+M357</f>
        <v>10107464.66</v>
      </c>
      <c r="O357" s="37" t="str">
        <f aca="false">IF(AND(N356&lt;0,N357&gt;=0,A357&lt;=MAX(120,Premissas!$B$15*12)),(A357-1)+(-N356)/M357,"")</f>
        <v/>
      </c>
      <c r="P357" s="9" t="n">
        <f aca="false">Resultados!$B$19*$B357-Resultados!$B$20*$B357-Premissas!$B$24-Resultados!$B$19*$B357*(Premissas!$B$14/100)</f>
        <v>24432.4</v>
      </c>
      <c r="Q357" s="9" t="n">
        <f aca="false">P357-$C357</f>
        <v>24432.4</v>
      </c>
      <c r="R357" s="9" t="n">
        <f aca="false">R356+Q357</f>
        <v>8217196.28000005</v>
      </c>
      <c r="S357" s="37" t="str">
        <f aca="false">IF(AND(R356&lt;0,R357&gt;=0,A357&lt;=MAX(120,Premissas!$B$15*12)),(A357-1)+(-R356)/Q357,"")</f>
        <v/>
      </c>
    </row>
    <row r="358" customFormat="false" ht="15" hidden="false" customHeight="false" outlineLevel="0" collapsed="false">
      <c r="A358" s="10" t="n">
        <f aca="false">A357+1</f>
        <v>354</v>
      </c>
      <c r="B358" s="36" t="n">
        <f aca="false">IF(Premissas!$B$9&lt;=1,1,MIN(1,Premissas!$B$8/100+(1-Premissas!$B$8/100)*(A358-1)/(Premissas!$B$9-1)))</f>
        <v>1</v>
      </c>
      <c r="C358" s="9" t="n">
        <f aca="false">IF(A358&lt;=Resultados!$B$9,Resultados!$B$10,0)</f>
        <v>0</v>
      </c>
      <c r="D358" s="9" t="n">
        <f aca="false">Resultados!$E$37*$B358-Resultados!$F$37*$B358-Premissas!$B$24-Resultados!$E$37*$B358*(Premissas!$B$14/100)</f>
        <v>19027</v>
      </c>
      <c r="E358" s="9" t="n">
        <f aca="false">D358-$C358</f>
        <v>19027</v>
      </c>
      <c r="F358" s="9" t="n">
        <f aca="false">F357+E358</f>
        <v>6345954.9</v>
      </c>
      <c r="G358" s="37" t="str">
        <f aca="false">IF(AND(F357&lt;0,F358&gt;=0,A358&lt;=MAX(120,Premissas!$B$15*12)),(A358-1)+(-F357)/E358,"")</f>
        <v/>
      </c>
      <c r="H358" s="9" t="n">
        <f aca="false">Resultados!$E$38*$B358-Resultados!$F$38*$B358-Premissas!$B$24-Resultados!$E$38*$B358*(Premissas!$B$14/100)</f>
        <v>24432.4</v>
      </c>
      <c r="I358" s="9" t="n">
        <f aca="false">H358-$C358</f>
        <v>24432.4</v>
      </c>
      <c r="J358" s="9" t="n">
        <f aca="false">J357+I358</f>
        <v>8241628.68000005</v>
      </c>
      <c r="K358" s="37" t="str">
        <f aca="false">IF(AND(J357&lt;0,J358&gt;=0,A358&lt;=MAX(120,Premissas!$B$15*12)),(A358-1)+(-J357)/I358,"")</f>
        <v/>
      </c>
      <c r="L358" s="9" t="n">
        <f aca="false">Resultados!$E$39*$B358-Resultados!$F$39*$B358-Premissas!$B$24-Resultados!$E$39*$B358*(Premissas!$B$14/100)</f>
        <v>29837.8</v>
      </c>
      <c r="M358" s="9" t="n">
        <f aca="false">L358-$C358</f>
        <v>29837.8</v>
      </c>
      <c r="N358" s="9" t="n">
        <f aca="false">N357+M358</f>
        <v>10137302.46</v>
      </c>
      <c r="O358" s="37" t="str">
        <f aca="false">IF(AND(N357&lt;0,N358&gt;=0,A358&lt;=MAX(120,Premissas!$B$15*12)),(A358-1)+(-N357)/M358,"")</f>
        <v/>
      </c>
      <c r="P358" s="9" t="n">
        <f aca="false">Resultados!$B$19*$B358-Resultados!$B$20*$B358-Premissas!$B$24-Resultados!$B$19*$B358*(Premissas!$B$14/100)</f>
        <v>24432.4</v>
      </c>
      <c r="Q358" s="9" t="n">
        <f aca="false">P358-$C358</f>
        <v>24432.4</v>
      </c>
      <c r="R358" s="9" t="n">
        <f aca="false">R357+Q358</f>
        <v>8241628.68000005</v>
      </c>
      <c r="S358" s="37" t="str">
        <f aca="false">IF(AND(R357&lt;0,R358&gt;=0,A358&lt;=MAX(120,Premissas!$B$15*12)),(A358-1)+(-R357)/Q358,"")</f>
        <v/>
      </c>
    </row>
    <row r="359" customFormat="false" ht="15" hidden="false" customHeight="false" outlineLevel="0" collapsed="false">
      <c r="A359" s="10" t="n">
        <f aca="false">A358+1</f>
        <v>355</v>
      </c>
      <c r="B359" s="36" t="n">
        <f aca="false">IF(Premissas!$B$9&lt;=1,1,MIN(1,Premissas!$B$8/100+(1-Premissas!$B$8/100)*(A359-1)/(Premissas!$B$9-1)))</f>
        <v>1</v>
      </c>
      <c r="C359" s="9" t="n">
        <f aca="false">IF(A359&lt;=Resultados!$B$9,Resultados!$B$10,0)</f>
        <v>0</v>
      </c>
      <c r="D359" s="9" t="n">
        <f aca="false">Resultados!$E$37*$B359-Resultados!$F$37*$B359-Premissas!$B$24-Resultados!$E$37*$B359*(Premissas!$B$14/100)</f>
        <v>19027</v>
      </c>
      <c r="E359" s="9" t="n">
        <f aca="false">D359-$C359</f>
        <v>19027</v>
      </c>
      <c r="F359" s="9" t="n">
        <f aca="false">F358+E359</f>
        <v>6364981.9</v>
      </c>
      <c r="G359" s="37" t="str">
        <f aca="false">IF(AND(F358&lt;0,F359&gt;=0,A359&lt;=MAX(120,Premissas!$B$15*12)),(A359-1)+(-F358)/E359,"")</f>
        <v/>
      </c>
      <c r="H359" s="9" t="n">
        <f aca="false">Resultados!$E$38*$B359-Resultados!$F$38*$B359-Premissas!$B$24-Resultados!$E$38*$B359*(Premissas!$B$14/100)</f>
        <v>24432.4</v>
      </c>
      <c r="I359" s="9" t="n">
        <f aca="false">H359-$C359</f>
        <v>24432.4</v>
      </c>
      <c r="J359" s="9" t="n">
        <f aca="false">J358+I359</f>
        <v>8266061.08000005</v>
      </c>
      <c r="K359" s="37" t="str">
        <f aca="false">IF(AND(J358&lt;0,J359&gt;=0,A359&lt;=MAX(120,Premissas!$B$15*12)),(A359-1)+(-J358)/I359,"")</f>
        <v/>
      </c>
      <c r="L359" s="9" t="n">
        <f aca="false">Resultados!$E$39*$B359-Resultados!$F$39*$B359-Premissas!$B$24-Resultados!$E$39*$B359*(Premissas!$B$14/100)</f>
        <v>29837.8</v>
      </c>
      <c r="M359" s="9" t="n">
        <f aca="false">L359-$C359</f>
        <v>29837.8</v>
      </c>
      <c r="N359" s="9" t="n">
        <f aca="false">N358+M359</f>
        <v>10167140.26</v>
      </c>
      <c r="O359" s="37" t="str">
        <f aca="false">IF(AND(N358&lt;0,N359&gt;=0,A359&lt;=MAX(120,Premissas!$B$15*12)),(A359-1)+(-N358)/M359,"")</f>
        <v/>
      </c>
      <c r="P359" s="9" t="n">
        <f aca="false">Resultados!$B$19*$B359-Resultados!$B$20*$B359-Premissas!$B$24-Resultados!$B$19*$B359*(Premissas!$B$14/100)</f>
        <v>24432.4</v>
      </c>
      <c r="Q359" s="9" t="n">
        <f aca="false">P359-$C359</f>
        <v>24432.4</v>
      </c>
      <c r="R359" s="9" t="n">
        <f aca="false">R358+Q359</f>
        <v>8266061.08000005</v>
      </c>
      <c r="S359" s="37" t="str">
        <f aca="false">IF(AND(R358&lt;0,R359&gt;=0,A359&lt;=MAX(120,Premissas!$B$15*12)),(A359-1)+(-R358)/Q359,"")</f>
        <v/>
      </c>
    </row>
    <row r="360" customFormat="false" ht="15" hidden="false" customHeight="false" outlineLevel="0" collapsed="false">
      <c r="A360" s="10" t="n">
        <f aca="false">A359+1</f>
        <v>356</v>
      </c>
      <c r="B360" s="36" t="n">
        <f aca="false">IF(Premissas!$B$9&lt;=1,1,MIN(1,Premissas!$B$8/100+(1-Premissas!$B$8/100)*(A360-1)/(Premissas!$B$9-1)))</f>
        <v>1</v>
      </c>
      <c r="C360" s="9" t="n">
        <f aca="false">IF(A360&lt;=Resultados!$B$9,Resultados!$B$10,0)</f>
        <v>0</v>
      </c>
      <c r="D360" s="9" t="n">
        <f aca="false">Resultados!$E$37*$B360-Resultados!$F$37*$B360-Premissas!$B$24-Resultados!$E$37*$B360*(Premissas!$B$14/100)</f>
        <v>19027</v>
      </c>
      <c r="E360" s="9" t="n">
        <f aca="false">D360-$C360</f>
        <v>19027</v>
      </c>
      <c r="F360" s="9" t="n">
        <f aca="false">F359+E360</f>
        <v>6384008.9</v>
      </c>
      <c r="G360" s="37" t="str">
        <f aca="false">IF(AND(F359&lt;0,F360&gt;=0,A360&lt;=MAX(120,Premissas!$B$15*12)),(A360-1)+(-F359)/E360,"")</f>
        <v/>
      </c>
      <c r="H360" s="9" t="n">
        <f aca="false">Resultados!$E$38*$B360-Resultados!$F$38*$B360-Premissas!$B$24-Resultados!$E$38*$B360*(Premissas!$B$14/100)</f>
        <v>24432.4</v>
      </c>
      <c r="I360" s="9" t="n">
        <f aca="false">H360-$C360</f>
        <v>24432.4</v>
      </c>
      <c r="J360" s="9" t="n">
        <f aca="false">J359+I360</f>
        <v>8290493.48000005</v>
      </c>
      <c r="K360" s="37" t="str">
        <f aca="false">IF(AND(J359&lt;0,J360&gt;=0,A360&lt;=MAX(120,Premissas!$B$15*12)),(A360-1)+(-J359)/I360,"")</f>
        <v/>
      </c>
      <c r="L360" s="9" t="n">
        <f aca="false">Resultados!$E$39*$B360-Resultados!$F$39*$B360-Premissas!$B$24-Resultados!$E$39*$B360*(Premissas!$B$14/100)</f>
        <v>29837.8</v>
      </c>
      <c r="M360" s="9" t="n">
        <f aca="false">L360-$C360</f>
        <v>29837.8</v>
      </c>
      <c r="N360" s="9" t="n">
        <f aca="false">N359+M360</f>
        <v>10196978.06</v>
      </c>
      <c r="O360" s="37" t="str">
        <f aca="false">IF(AND(N359&lt;0,N360&gt;=0,A360&lt;=MAX(120,Premissas!$B$15*12)),(A360-1)+(-N359)/M360,"")</f>
        <v/>
      </c>
      <c r="P360" s="9" t="n">
        <f aca="false">Resultados!$B$19*$B360-Resultados!$B$20*$B360-Premissas!$B$24-Resultados!$B$19*$B360*(Premissas!$B$14/100)</f>
        <v>24432.4</v>
      </c>
      <c r="Q360" s="9" t="n">
        <f aca="false">P360-$C360</f>
        <v>24432.4</v>
      </c>
      <c r="R360" s="9" t="n">
        <f aca="false">R359+Q360</f>
        <v>8290493.48000005</v>
      </c>
      <c r="S360" s="37" t="str">
        <f aca="false">IF(AND(R359&lt;0,R360&gt;=0,A360&lt;=MAX(120,Premissas!$B$15*12)),(A360-1)+(-R359)/Q360,"")</f>
        <v/>
      </c>
    </row>
    <row r="361" customFormat="false" ht="15" hidden="false" customHeight="false" outlineLevel="0" collapsed="false">
      <c r="A361" s="10" t="n">
        <f aca="false">A360+1</f>
        <v>357</v>
      </c>
      <c r="B361" s="36" t="n">
        <f aca="false">IF(Premissas!$B$9&lt;=1,1,MIN(1,Premissas!$B$8/100+(1-Premissas!$B$8/100)*(A361-1)/(Premissas!$B$9-1)))</f>
        <v>1</v>
      </c>
      <c r="C361" s="9" t="n">
        <f aca="false">IF(A361&lt;=Resultados!$B$9,Resultados!$B$10,0)</f>
        <v>0</v>
      </c>
      <c r="D361" s="9" t="n">
        <f aca="false">Resultados!$E$37*$B361-Resultados!$F$37*$B361-Premissas!$B$24-Resultados!$E$37*$B361*(Premissas!$B$14/100)</f>
        <v>19027</v>
      </c>
      <c r="E361" s="9" t="n">
        <f aca="false">D361-$C361</f>
        <v>19027</v>
      </c>
      <c r="F361" s="9" t="n">
        <f aca="false">F360+E361</f>
        <v>6403035.9</v>
      </c>
      <c r="G361" s="37" t="str">
        <f aca="false">IF(AND(F360&lt;0,F361&gt;=0,A361&lt;=MAX(120,Premissas!$B$15*12)),(A361-1)+(-F360)/E361,"")</f>
        <v/>
      </c>
      <c r="H361" s="9" t="n">
        <f aca="false">Resultados!$E$38*$B361-Resultados!$F$38*$B361-Premissas!$B$24-Resultados!$E$38*$B361*(Premissas!$B$14/100)</f>
        <v>24432.4</v>
      </c>
      <c r="I361" s="9" t="n">
        <f aca="false">H361-$C361</f>
        <v>24432.4</v>
      </c>
      <c r="J361" s="9" t="n">
        <f aca="false">J360+I361</f>
        <v>8314925.88000005</v>
      </c>
      <c r="K361" s="37" t="str">
        <f aca="false">IF(AND(J360&lt;0,J361&gt;=0,A361&lt;=MAX(120,Premissas!$B$15*12)),(A361-1)+(-J360)/I361,"")</f>
        <v/>
      </c>
      <c r="L361" s="9" t="n">
        <f aca="false">Resultados!$E$39*$B361-Resultados!$F$39*$B361-Premissas!$B$24-Resultados!$E$39*$B361*(Premissas!$B$14/100)</f>
        <v>29837.8</v>
      </c>
      <c r="M361" s="9" t="n">
        <f aca="false">L361-$C361</f>
        <v>29837.8</v>
      </c>
      <c r="N361" s="9" t="n">
        <f aca="false">N360+M361</f>
        <v>10226815.86</v>
      </c>
      <c r="O361" s="37" t="str">
        <f aca="false">IF(AND(N360&lt;0,N361&gt;=0,A361&lt;=MAX(120,Premissas!$B$15*12)),(A361-1)+(-N360)/M361,"")</f>
        <v/>
      </c>
      <c r="P361" s="9" t="n">
        <f aca="false">Resultados!$B$19*$B361-Resultados!$B$20*$B361-Premissas!$B$24-Resultados!$B$19*$B361*(Premissas!$B$14/100)</f>
        <v>24432.4</v>
      </c>
      <c r="Q361" s="9" t="n">
        <f aca="false">P361-$C361</f>
        <v>24432.4</v>
      </c>
      <c r="R361" s="9" t="n">
        <f aca="false">R360+Q361</f>
        <v>8314925.88000005</v>
      </c>
      <c r="S361" s="37" t="str">
        <f aca="false">IF(AND(R360&lt;0,R361&gt;=0,A361&lt;=MAX(120,Premissas!$B$15*12)),(A361-1)+(-R360)/Q361,"")</f>
        <v/>
      </c>
    </row>
    <row r="362" customFormat="false" ht="15" hidden="false" customHeight="false" outlineLevel="0" collapsed="false">
      <c r="A362" s="10" t="n">
        <f aca="false">A361+1</f>
        <v>358</v>
      </c>
      <c r="B362" s="36" t="n">
        <f aca="false">IF(Premissas!$B$9&lt;=1,1,MIN(1,Premissas!$B$8/100+(1-Premissas!$B$8/100)*(A362-1)/(Premissas!$B$9-1)))</f>
        <v>1</v>
      </c>
      <c r="C362" s="9" t="n">
        <f aca="false">IF(A362&lt;=Resultados!$B$9,Resultados!$B$10,0)</f>
        <v>0</v>
      </c>
      <c r="D362" s="9" t="n">
        <f aca="false">Resultados!$E$37*$B362-Resultados!$F$37*$B362-Premissas!$B$24-Resultados!$E$37*$B362*(Premissas!$B$14/100)</f>
        <v>19027</v>
      </c>
      <c r="E362" s="9" t="n">
        <f aca="false">D362-$C362</f>
        <v>19027</v>
      </c>
      <c r="F362" s="9" t="n">
        <f aca="false">F361+E362</f>
        <v>6422062.9</v>
      </c>
      <c r="G362" s="37" t="str">
        <f aca="false">IF(AND(F361&lt;0,F362&gt;=0,A362&lt;=MAX(120,Premissas!$B$15*12)),(A362-1)+(-F361)/E362,"")</f>
        <v/>
      </c>
      <c r="H362" s="9" t="n">
        <f aca="false">Resultados!$E$38*$B362-Resultados!$F$38*$B362-Premissas!$B$24-Resultados!$E$38*$B362*(Premissas!$B$14/100)</f>
        <v>24432.4</v>
      </c>
      <c r="I362" s="9" t="n">
        <f aca="false">H362-$C362</f>
        <v>24432.4</v>
      </c>
      <c r="J362" s="9" t="n">
        <f aca="false">J361+I362</f>
        <v>8339358.28000005</v>
      </c>
      <c r="K362" s="37" t="str">
        <f aca="false">IF(AND(J361&lt;0,J362&gt;=0,A362&lt;=MAX(120,Premissas!$B$15*12)),(A362-1)+(-J361)/I362,"")</f>
        <v/>
      </c>
      <c r="L362" s="9" t="n">
        <f aca="false">Resultados!$E$39*$B362-Resultados!$F$39*$B362-Premissas!$B$24-Resultados!$E$39*$B362*(Premissas!$B$14/100)</f>
        <v>29837.8</v>
      </c>
      <c r="M362" s="9" t="n">
        <f aca="false">L362-$C362</f>
        <v>29837.8</v>
      </c>
      <c r="N362" s="9" t="n">
        <f aca="false">N361+M362</f>
        <v>10256653.66</v>
      </c>
      <c r="O362" s="37" t="str">
        <f aca="false">IF(AND(N361&lt;0,N362&gt;=0,A362&lt;=MAX(120,Premissas!$B$15*12)),(A362-1)+(-N361)/M362,"")</f>
        <v/>
      </c>
      <c r="P362" s="9" t="n">
        <f aca="false">Resultados!$B$19*$B362-Resultados!$B$20*$B362-Premissas!$B$24-Resultados!$B$19*$B362*(Premissas!$B$14/100)</f>
        <v>24432.4</v>
      </c>
      <c r="Q362" s="9" t="n">
        <f aca="false">P362-$C362</f>
        <v>24432.4</v>
      </c>
      <c r="R362" s="9" t="n">
        <f aca="false">R361+Q362</f>
        <v>8339358.28000005</v>
      </c>
      <c r="S362" s="37" t="str">
        <f aca="false">IF(AND(R361&lt;0,R362&gt;=0,A362&lt;=MAX(120,Premissas!$B$15*12)),(A362-1)+(-R361)/Q362,"")</f>
        <v/>
      </c>
    </row>
    <row r="363" customFormat="false" ht="15" hidden="false" customHeight="false" outlineLevel="0" collapsed="false">
      <c r="A363" s="10" t="n">
        <f aca="false">A362+1</f>
        <v>359</v>
      </c>
      <c r="B363" s="36" t="n">
        <f aca="false">IF(Premissas!$B$9&lt;=1,1,MIN(1,Premissas!$B$8/100+(1-Premissas!$B$8/100)*(A363-1)/(Premissas!$B$9-1)))</f>
        <v>1</v>
      </c>
      <c r="C363" s="9" t="n">
        <f aca="false">IF(A363&lt;=Resultados!$B$9,Resultados!$B$10,0)</f>
        <v>0</v>
      </c>
      <c r="D363" s="9" t="n">
        <f aca="false">Resultados!$E$37*$B363-Resultados!$F$37*$B363-Premissas!$B$24-Resultados!$E$37*$B363*(Premissas!$B$14/100)</f>
        <v>19027</v>
      </c>
      <c r="E363" s="9" t="n">
        <f aca="false">D363-$C363</f>
        <v>19027</v>
      </c>
      <c r="F363" s="9" t="n">
        <f aca="false">F362+E363</f>
        <v>6441089.9</v>
      </c>
      <c r="G363" s="37" t="str">
        <f aca="false">IF(AND(F362&lt;0,F363&gt;=0,A363&lt;=MAX(120,Premissas!$B$15*12)),(A363-1)+(-F362)/E363,"")</f>
        <v/>
      </c>
      <c r="H363" s="9" t="n">
        <f aca="false">Resultados!$E$38*$B363-Resultados!$F$38*$B363-Premissas!$B$24-Resultados!$E$38*$B363*(Premissas!$B$14/100)</f>
        <v>24432.4</v>
      </c>
      <c r="I363" s="9" t="n">
        <f aca="false">H363-$C363</f>
        <v>24432.4</v>
      </c>
      <c r="J363" s="9" t="n">
        <f aca="false">J362+I363</f>
        <v>8363790.68000005</v>
      </c>
      <c r="K363" s="37" t="str">
        <f aca="false">IF(AND(J362&lt;0,J363&gt;=0,A363&lt;=MAX(120,Premissas!$B$15*12)),(A363-1)+(-J362)/I363,"")</f>
        <v/>
      </c>
      <c r="L363" s="9" t="n">
        <f aca="false">Resultados!$E$39*$B363-Resultados!$F$39*$B363-Premissas!$B$24-Resultados!$E$39*$B363*(Premissas!$B$14/100)</f>
        <v>29837.8</v>
      </c>
      <c r="M363" s="9" t="n">
        <f aca="false">L363-$C363</f>
        <v>29837.8</v>
      </c>
      <c r="N363" s="9" t="n">
        <f aca="false">N362+M363</f>
        <v>10286491.46</v>
      </c>
      <c r="O363" s="37" t="str">
        <f aca="false">IF(AND(N362&lt;0,N363&gt;=0,A363&lt;=MAX(120,Premissas!$B$15*12)),(A363-1)+(-N362)/M363,"")</f>
        <v/>
      </c>
      <c r="P363" s="9" t="n">
        <f aca="false">Resultados!$B$19*$B363-Resultados!$B$20*$B363-Premissas!$B$24-Resultados!$B$19*$B363*(Premissas!$B$14/100)</f>
        <v>24432.4</v>
      </c>
      <c r="Q363" s="9" t="n">
        <f aca="false">P363-$C363</f>
        <v>24432.4</v>
      </c>
      <c r="R363" s="9" t="n">
        <f aca="false">R362+Q363</f>
        <v>8363790.68000005</v>
      </c>
      <c r="S363" s="37" t="str">
        <f aca="false">IF(AND(R362&lt;0,R363&gt;=0,A363&lt;=MAX(120,Premissas!$B$15*12)),(A363-1)+(-R362)/Q363,"")</f>
        <v/>
      </c>
    </row>
    <row r="364" customFormat="false" ht="15" hidden="false" customHeight="false" outlineLevel="0" collapsed="false">
      <c r="A364" s="10" t="n">
        <f aca="false">A363+1</f>
        <v>360</v>
      </c>
      <c r="B364" s="36" t="n">
        <f aca="false">IF(Premissas!$B$9&lt;=1,1,MIN(1,Premissas!$B$8/100+(1-Premissas!$B$8/100)*(A364-1)/(Premissas!$B$9-1)))</f>
        <v>1</v>
      </c>
      <c r="C364" s="9" t="n">
        <f aca="false">IF(A364&lt;=Resultados!$B$9,Resultados!$B$10,0)</f>
        <v>0</v>
      </c>
      <c r="D364" s="9" t="n">
        <f aca="false">Resultados!$E$37*$B364-Resultados!$F$37*$B364-Premissas!$B$24-Resultados!$E$37*$B364*(Premissas!$B$14/100)</f>
        <v>19027</v>
      </c>
      <c r="E364" s="9" t="n">
        <f aca="false">D364-$C364</f>
        <v>19027</v>
      </c>
      <c r="F364" s="9" t="n">
        <f aca="false">F363+E364</f>
        <v>6460116.9</v>
      </c>
      <c r="G364" s="37" t="str">
        <f aca="false">IF(AND(F363&lt;0,F364&gt;=0,A364&lt;=MAX(120,Premissas!$B$15*12)),(A364-1)+(-F363)/E364,"")</f>
        <v/>
      </c>
      <c r="H364" s="9" t="n">
        <f aca="false">Resultados!$E$38*$B364-Resultados!$F$38*$B364-Premissas!$B$24-Resultados!$E$38*$B364*(Premissas!$B$14/100)</f>
        <v>24432.4</v>
      </c>
      <c r="I364" s="9" t="n">
        <f aca="false">H364-$C364</f>
        <v>24432.4</v>
      </c>
      <c r="J364" s="9" t="n">
        <f aca="false">J363+I364</f>
        <v>8388223.08000005</v>
      </c>
      <c r="K364" s="37" t="str">
        <f aca="false">IF(AND(J363&lt;0,J364&gt;=0,A364&lt;=MAX(120,Premissas!$B$15*12)),(A364-1)+(-J363)/I364,"")</f>
        <v/>
      </c>
      <c r="L364" s="9" t="n">
        <f aca="false">Resultados!$E$39*$B364-Resultados!$F$39*$B364-Premissas!$B$24-Resultados!$E$39*$B364*(Premissas!$B$14/100)</f>
        <v>29837.8</v>
      </c>
      <c r="M364" s="9" t="n">
        <f aca="false">L364-$C364</f>
        <v>29837.8</v>
      </c>
      <c r="N364" s="9" t="n">
        <f aca="false">N363+M364</f>
        <v>10316329.26</v>
      </c>
      <c r="O364" s="37" t="str">
        <f aca="false">IF(AND(N363&lt;0,N364&gt;=0,A364&lt;=MAX(120,Premissas!$B$15*12)),(A364-1)+(-N363)/M364,"")</f>
        <v/>
      </c>
      <c r="P364" s="9" t="n">
        <f aca="false">Resultados!$B$19*$B364-Resultados!$B$20*$B364-Premissas!$B$24-Resultados!$B$19*$B364*(Premissas!$B$14/100)</f>
        <v>24432.4</v>
      </c>
      <c r="Q364" s="9" t="n">
        <f aca="false">P364-$C364</f>
        <v>24432.4</v>
      </c>
      <c r="R364" s="9" t="n">
        <f aca="false">R363+Q364</f>
        <v>8388223.08000005</v>
      </c>
      <c r="S364" s="37" t="str">
        <f aca="false">IF(AND(R363&lt;0,R364&gt;=0,A364&lt;=MAX(120,Premissas!$B$15*12)),(A364-1)+(-R363)/Q364,"")</f>
        <v/>
      </c>
    </row>
    <row r="365" customFormat="false" ht="15" hidden="false" customHeight="false" outlineLevel="0" collapsed="false">
      <c r="A365" s="10" t="n">
        <f aca="false">A364+1</f>
        <v>361</v>
      </c>
      <c r="B365" s="36" t="n">
        <f aca="false">IF(Premissas!$B$9&lt;=1,1,MIN(1,Premissas!$B$8/100+(1-Premissas!$B$8/100)*(A365-1)/(Premissas!$B$9-1)))</f>
        <v>1</v>
      </c>
      <c r="C365" s="9" t="n">
        <f aca="false">IF(A365&lt;=Resultados!$B$9,Resultados!$B$10,0)</f>
        <v>0</v>
      </c>
      <c r="D365" s="9" t="n">
        <f aca="false">Resultados!$E$37*$B365-Resultados!$F$37*$B365-Premissas!$B$24-Resultados!$E$37*$B365*(Premissas!$B$14/100)</f>
        <v>19027</v>
      </c>
      <c r="E365" s="9" t="n">
        <f aca="false">D365-$C365</f>
        <v>19027</v>
      </c>
      <c r="F365" s="9" t="n">
        <f aca="false">F364+E365</f>
        <v>6479143.9</v>
      </c>
      <c r="G365" s="37" t="str">
        <f aca="false">IF(AND(F364&lt;0,F365&gt;=0,A365&lt;=MAX(120,Premissas!$B$15*12)),(A365-1)+(-F364)/E365,"")</f>
        <v/>
      </c>
      <c r="H365" s="9" t="n">
        <f aca="false">Resultados!$E$38*$B365-Resultados!$F$38*$B365-Premissas!$B$24-Resultados!$E$38*$B365*(Premissas!$B$14/100)</f>
        <v>24432.4</v>
      </c>
      <c r="I365" s="9" t="n">
        <f aca="false">H365-$C365</f>
        <v>24432.4</v>
      </c>
      <c r="J365" s="9" t="n">
        <f aca="false">J364+I365</f>
        <v>8412655.48000005</v>
      </c>
      <c r="K365" s="37" t="str">
        <f aca="false">IF(AND(J364&lt;0,J365&gt;=0,A365&lt;=MAX(120,Premissas!$B$15*12)),(A365-1)+(-J364)/I365,"")</f>
        <v/>
      </c>
      <c r="L365" s="9" t="n">
        <f aca="false">Resultados!$E$39*$B365-Resultados!$F$39*$B365-Premissas!$B$24-Resultados!$E$39*$B365*(Premissas!$B$14/100)</f>
        <v>29837.8</v>
      </c>
      <c r="M365" s="9" t="n">
        <f aca="false">L365-$C365</f>
        <v>29837.8</v>
      </c>
      <c r="N365" s="9" t="n">
        <f aca="false">N364+M365</f>
        <v>10346167.06</v>
      </c>
      <c r="O365" s="37" t="str">
        <f aca="false">IF(AND(N364&lt;0,N365&gt;=0,A365&lt;=MAX(120,Premissas!$B$15*12)),(A365-1)+(-N364)/M365,"")</f>
        <v/>
      </c>
      <c r="P365" s="9" t="n">
        <f aca="false">Resultados!$B$19*$B365-Resultados!$B$20*$B365-Premissas!$B$24-Resultados!$B$19*$B365*(Premissas!$B$14/100)</f>
        <v>24432.4</v>
      </c>
      <c r="Q365" s="9" t="n">
        <f aca="false">P365-$C365</f>
        <v>24432.4</v>
      </c>
      <c r="R365" s="9" t="n">
        <f aca="false">R364+Q365</f>
        <v>8412655.48000005</v>
      </c>
      <c r="S365" s="37" t="str">
        <f aca="false">IF(AND(R364&lt;0,R365&gt;=0,A365&lt;=MAX(120,Premissas!$B$15*12)),(A365-1)+(-R364)/Q365,"")</f>
        <v/>
      </c>
    </row>
    <row r="366" customFormat="false" ht="15" hidden="false" customHeight="false" outlineLevel="0" collapsed="false">
      <c r="A366" s="10" t="n">
        <f aca="false">A365+1</f>
        <v>362</v>
      </c>
      <c r="B366" s="36" t="n">
        <f aca="false">IF(Premissas!$B$9&lt;=1,1,MIN(1,Premissas!$B$8/100+(1-Premissas!$B$8/100)*(A366-1)/(Premissas!$B$9-1)))</f>
        <v>1</v>
      </c>
      <c r="C366" s="9" t="n">
        <f aca="false">IF(A366&lt;=Resultados!$B$9,Resultados!$B$10,0)</f>
        <v>0</v>
      </c>
      <c r="D366" s="9" t="n">
        <f aca="false">Resultados!$E$37*$B366-Resultados!$F$37*$B366-Premissas!$B$24-Resultados!$E$37*$B366*(Premissas!$B$14/100)</f>
        <v>19027</v>
      </c>
      <c r="E366" s="9" t="n">
        <f aca="false">D366-$C366</f>
        <v>19027</v>
      </c>
      <c r="F366" s="9" t="n">
        <f aca="false">F365+E366</f>
        <v>6498170.9</v>
      </c>
      <c r="G366" s="37" t="str">
        <f aca="false">IF(AND(F365&lt;0,F366&gt;=0,A366&lt;=MAX(120,Premissas!$B$15*12)),(A366-1)+(-F365)/E366,"")</f>
        <v/>
      </c>
      <c r="H366" s="9" t="n">
        <f aca="false">Resultados!$E$38*$B366-Resultados!$F$38*$B366-Premissas!$B$24-Resultados!$E$38*$B366*(Premissas!$B$14/100)</f>
        <v>24432.4</v>
      </c>
      <c r="I366" s="9" t="n">
        <f aca="false">H366-$C366</f>
        <v>24432.4</v>
      </c>
      <c r="J366" s="9" t="n">
        <f aca="false">J365+I366</f>
        <v>8437087.88000005</v>
      </c>
      <c r="K366" s="37" t="str">
        <f aca="false">IF(AND(J365&lt;0,J366&gt;=0,A366&lt;=MAX(120,Premissas!$B$15*12)),(A366-1)+(-J365)/I366,"")</f>
        <v/>
      </c>
      <c r="L366" s="9" t="n">
        <f aca="false">Resultados!$E$39*$B366-Resultados!$F$39*$B366-Premissas!$B$24-Resultados!$E$39*$B366*(Premissas!$B$14/100)</f>
        <v>29837.8</v>
      </c>
      <c r="M366" s="9" t="n">
        <f aca="false">L366-$C366</f>
        <v>29837.8</v>
      </c>
      <c r="N366" s="9" t="n">
        <f aca="false">N365+M366</f>
        <v>10376004.86</v>
      </c>
      <c r="O366" s="37" t="str">
        <f aca="false">IF(AND(N365&lt;0,N366&gt;=0,A366&lt;=MAX(120,Premissas!$B$15*12)),(A366-1)+(-N365)/M366,"")</f>
        <v/>
      </c>
      <c r="P366" s="9" t="n">
        <f aca="false">Resultados!$B$19*$B366-Resultados!$B$20*$B366-Premissas!$B$24-Resultados!$B$19*$B366*(Premissas!$B$14/100)</f>
        <v>24432.4</v>
      </c>
      <c r="Q366" s="9" t="n">
        <f aca="false">P366-$C366</f>
        <v>24432.4</v>
      </c>
      <c r="R366" s="9" t="n">
        <f aca="false">R365+Q366</f>
        <v>8437087.88000005</v>
      </c>
      <c r="S366" s="37" t="str">
        <f aca="false">IF(AND(R365&lt;0,R366&gt;=0,A366&lt;=MAX(120,Premissas!$B$15*12)),(A366-1)+(-R365)/Q366,"")</f>
        <v/>
      </c>
    </row>
    <row r="367" customFormat="false" ht="15" hidden="false" customHeight="false" outlineLevel="0" collapsed="false">
      <c r="A367" s="10" t="n">
        <f aca="false">A366+1</f>
        <v>363</v>
      </c>
      <c r="B367" s="36" t="n">
        <f aca="false">IF(Premissas!$B$9&lt;=1,1,MIN(1,Premissas!$B$8/100+(1-Premissas!$B$8/100)*(A367-1)/(Premissas!$B$9-1)))</f>
        <v>1</v>
      </c>
      <c r="C367" s="9" t="n">
        <f aca="false">IF(A367&lt;=Resultados!$B$9,Resultados!$B$10,0)</f>
        <v>0</v>
      </c>
      <c r="D367" s="9" t="n">
        <f aca="false">Resultados!$E$37*$B367-Resultados!$F$37*$B367-Premissas!$B$24-Resultados!$E$37*$B367*(Premissas!$B$14/100)</f>
        <v>19027</v>
      </c>
      <c r="E367" s="9" t="n">
        <f aca="false">D367-$C367</f>
        <v>19027</v>
      </c>
      <c r="F367" s="9" t="n">
        <f aca="false">F366+E367</f>
        <v>6517197.9</v>
      </c>
      <c r="G367" s="37" t="str">
        <f aca="false">IF(AND(F366&lt;0,F367&gt;=0,A367&lt;=MAX(120,Premissas!$B$15*12)),(A367-1)+(-F366)/E367,"")</f>
        <v/>
      </c>
      <c r="H367" s="9" t="n">
        <f aca="false">Resultados!$E$38*$B367-Resultados!$F$38*$B367-Premissas!$B$24-Resultados!$E$38*$B367*(Premissas!$B$14/100)</f>
        <v>24432.4</v>
      </c>
      <c r="I367" s="9" t="n">
        <f aca="false">H367-$C367</f>
        <v>24432.4</v>
      </c>
      <c r="J367" s="9" t="n">
        <f aca="false">J366+I367</f>
        <v>8461520.28000005</v>
      </c>
      <c r="K367" s="37" t="str">
        <f aca="false">IF(AND(J366&lt;0,J367&gt;=0,A367&lt;=MAX(120,Premissas!$B$15*12)),(A367-1)+(-J366)/I367,"")</f>
        <v/>
      </c>
      <c r="L367" s="9" t="n">
        <f aca="false">Resultados!$E$39*$B367-Resultados!$F$39*$B367-Premissas!$B$24-Resultados!$E$39*$B367*(Premissas!$B$14/100)</f>
        <v>29837.8</v>
      </c>
      <c r="M367" s="9" t="n">
        <f aca="false">L367-$C367</f>
        <v>29837.8</v>
      </c>
      <c r="N367" s="9" t="n">
        <f aca="false">N366+M367</f>
        <v>10405842.66</v>
      </c>
      <c r="O367" s="37" t="str">
        <f aca="false">IF(AND(N366&lt;0,N367&gt;=0,A367&lt;=MAX(120,Premissas!$B$15*12)),(A367-1)+(-N366)/M367,"")</f>
        <v/>
      </c>
      <c r="P367" s="9" t="n">
        <f aca="false">Resultados!$B$19*$B367-Resultados!$B$20*$B367-Premissas!$B$24-Resultados!$B$19*$B367*(Premissas!$B$14/100)</f>
        <v>24432.4</v>
      </c>
      <c r="Q367" s="9" t="n">
        <f aca="false">P367-$C367</f>
        <v>24432.4</v>
      </c>
      <c r="R367" s="9" t="n">
        <f aca="false">R366+Q367</f>
        <v>8461520.28000005</v>
      </c>
      <c r="S367" s="37" t="str">
        <f aca="false">IF(AND(R366&lt;0,R367&gt;=0,A367&lt;=MAX(120,Premissas!$B$15*12)),(A367-1)+(-R366)/Q367,"")</f>
        <v/>
      </c>
    </row>
    <row r="368" customFormat="false" ht="15" hidden="false" customHeight="false" outlineLevel="0" collapsed="false">
      <c r="A368" s="10" t="n">
        <f aca="false">A367+1</f>
        <v>364</v>
      </c>
      <c r="B368" s="36" t="n">
        <f aca="false">IF(Premissas!$B$9&lt;=1,1,MIN(1,Premissas!$B$8/100+(1-Premissas!$B$8/100)*(A368-1)/(Premissas!$B$9-1)))</f>
        <v>1</v>
      </c>
      <c r="C368" s="9" t="n">
        <f aca="false">IF(A368&lt;=Resultados!$B$9,Resultados!$B$10,0)</f>
        <v>0</v>
      </c>
      <c r="D368" s="9" t="n">
        <f aca="false">Resultados!$E$37*$B368-Resultados!$F$37*$B368-Premissas!$B$24-Resultados!$E$37*$B368*(Premissas!$B$14/100)</f>
        <v>19027</v>
      </c>
      <c r="E368" s="9" t="n">
        <f aca="false">D368-$C368</f>
        <v>19027</v>
      </c>
      <c r="F368" s="9" t="n">
        <f aca="false">F367+E368</f>
        <v>6536224.9</v>
      </c>
      <c r="G368" s="37" t="str">
        <f aca="false">IF(AND(F367&lt;0,F368&gt;=0,A368&lt;=MAX(120,Premissas!$B$15*12)),(A368-1)+(-F367)/E368,"")</f>
        <v/>
      </c>
      <c r="H368" s="9" t="n">
        <f aca="false">Resultados!$E$38*$B368-Resultados!$F$38*$B368-Premissas!$B$24-Resultados!$E$38*$B368*(Premissas!$B$14/100)</f>
        <v>24432.4</v>
      </c>
      <c r="I368" s="9" t="n">
        <f aca="false">H368-$C368</f>
        <v>24432.4</v>
      </c>
      <c r="J368" s="9" t="n">
        <f aca="false">J367+I368</f>
        <v>8485952.68000005</v>
      </c>
      <c r="K368" s="37" t="str">
        <f aca="false">IF(AND(J367&lt;0,J368&gt;=0,A368&lt;=MAX(120,Premissas!$B$15*12)),(A368-1)+(-J367)/I368,"")</f>
        <v/>
      </c>
      <c r="L368" s="9" t="n">
        <f aca="false">Resultados!$E$39*$B368-Resultados!$F$39*$B368-Premissas!$B$24-Resultados!$E$39*$B368*(Premissas!$B$14/100)</f>
        <v>29837.8</v>
      </c>
      <c r="M368" s="9" t="n">
        <f aca="false">L368-$C368</f>
        <v>29837.8</v>
      </c>
      <c r="N368" s="9" t="n">
        <f aca="false">N367+M368</f>
        <v>10435680.46</v>
      </c>
      <c r="O368" s="37" t="str">
        <f aca="false">IF(AND(N367&lt;0,N368&gt;=0,A368&lt;=MAX(120,Premissas!$B$15*12)),(A368-1)+(-N367)/M368,"")</f>
        <v/>
      </c>
      <c r="P368" s="9" t="n">
        <f aca="false">Resultados!$B$19*$B368-Resultados!$B$20*$B368-Premissas!$B$24-Resultados!$B$19*$B368*(Premissas!$B$14/100)</f>
        <v>24432.4</v>
      </c>
      <c r="Q368" s="9" t="n">
        <f aca="false">P368-$C368</f>
        <v>24432.4</v>
      </c>
      <c r="R368" s="9" t="n">
        <f aca="false">R367+Q368</f>
        <v>8485952.68000005</v>
      </c>
      <c r="S368" s="37" t="str">
        <f aca="false">IF(AND(R367&lt;0,R368&gt;=0,A368&lt;=MAX(120,Premissas!$B$15*12)),(A368-1)+(-R367)/Q368,"")</f>
        <v/>
      </c>
    </row>
    <row r="369" customFormat="false" ht="15" hidden="false" customHeight="false" outlineLevel="0" collapsed="false">
      <c r="A369" s="10" t="n">
        <f aca="false">A368+1</f>
        <v>365</v>
      </c>
      <c r="B369" s="36" t="n">
        <f aca="false">IF(Premissas!$B$9&lt;=1,1,MIN(1,Premissas!$B$8/100+(1-Premissas!$B$8/100)*(A369-1)/(Premissas!$B$9-1)))</f>
        <v>1</v>
      </c>
      <c r="C369" s="9" t="n">
        <f aca="false">IF(A369&lt;=Resultados!$B$9,Resultados!$B$10,0)</f>
        <v>0</v>
      </c>
      <c r="D369" s="9" t="n">
        <f aca="false">Resultados!$E$37*$B369-Resultados!$F$37*$B369-Premissas!$B$24-Resultados!$E$37*$B369*(Premissas!$B$14/100)</f>
        <v>19027</v>
      </c>
      <c r="E369" s="9" t="n">
        <f aca="false">D369-$C369</f>
        <v>19027</v>
      </c>
      <c r="F369" s="9" t="n">
        <f aca="false">F368+E369</f>
        <v>6555251.9</v>
      </c>
      <c r="G369" s="37" t="str">
        <f aca="false">IF(AND(F368&lt;0,F369&gt;=0,A369&lt;=MAX(120,Premissas!$B$15*12)),(A369-1)+(-F368)/E369,"")</f>
        <v/>
      </c>
      <c r="H369" s="9" t="n">
        <f aca="false">Resultados!$E$38*$B369-Resultados!$F$38*$B369-Premissas!$B$24-Resultados!$E$38*$B369*(Premissas!$B$14/100)</f>
        <v>24432.4</v>
      </c>
      <c r="I369" s="9" t="n">
        <f aca="false">H369-$C369</f>
        <v>24432.4</v>
      </c>
      <c r="J369" s="9" t="n">
        <f aca="false">J368+I369</f>
        <v>8510385.08000005</v>
      </c>
      <c r="K369" s="37" t="str">
        <f aca="false">IF(AND(J368&lt;0,J369&gt;=0,A369&lt;=MAX(120,Premissas!$B$15*12)),(A369-1)+(-J368)/I369,"")</f>
        <v/>
      </c>
      <c r="L369" s="9" t="n">
        <f aca="false">Resultados!$E$39*$B369-Resultados!$F$39*$B369-Premissas!$B$24-Resultados!$E$39*$B369*(Premissas!$B$14/100)</f>
        <v>29837.8</v>
      </c>
      <c r="M369" s="9" t="n">
        <f aca="false">L369-$C369</f>
        <v>29837.8</v>
      </c>
      <c r="N369" s="9" t="n">
        <f aca="false">N368+M369</f>
        <v>10465518.26</v>
      </c>
      <c r="O369" s="37" t="str">
        <f aca="false">IF(AND(N368&lt;0,N369&gt;=0,A369&lt;=MAX(120,Premissas!$B$15*12)),(A369-1)+(-N368)/M369,"")</f>
        <v/>
      </c>
      <c r="P369" s="9" t="n">
        <f aca="false">Resultados!$B$19*$B369-Resultados!$B$20*$B369-Premissas!$B$24-Resultados!$B$19*$B369*(Premissas!$B$14/100)</f>
        <v>24432.4</v>
      </c>
      <c r="Q369" s="9" t="n">
        <f aca="false">P369-$C369</f>
        <v>24432.4</v>
      </c>
      <c r="R369" s="9" t="n">
        <f aca="false">R368+Q369</f>
        <v>8510385.08000005</v>
      </c>
      <c r="S369" s="37" t="str">
        <f aca="false">IF(AND(R368&lt;0,R369&gt;=0,A369&lt;=MAX(120,Premissas!$B$15*12)),(A369-1)+(-R368)/Q369,"")</f>
        <v/>
      </c>
    </row>
    <row r="370" customFormat="false" ht="15" hidden="false" customHeight="false" outlineLevel="0" collapsed="false">
      <c r="A370" s="10" t="n">
        <f aca="false">A369+1</f>
        <v>366</v>
      </c>
      <c r="B370" s="36" t="n">
        <f aca="false">IF(Premissas!$B$9&lt;=1,1,MIN(1,Premissas!$B$8/100+(1-Premissas!$B$8/100)*(A370-1)/(Premissas!$B$9-1)))</f>
        <v>1</v>
      </c>
      <c r="C370" s="9" t="n">
        <f aca="false">IF(A370&lt;=Resultados!$B$9,Resultados!$B$10,0)</f>
        <v>0</v>
      </c>
      <c r="D370" s="9" t="n">
        <f aca="false">Resultados!$E$37*$B370-Resultados!$F$37*$B370-Premissas!$B$24-Resultados!$E$37*$B370*(Premissas!$B$14/100)</f>
        <v>19027</v>
      </c>
      <c r="E370" s="9" t="n">
        <f aca="false">D370-$C370</f>
        <v>19027</v>
      </c>
      <c r="F370" s="9" t="n">
        <f aca="false">F369+E370</f>
        <v>6574278.9</v>
      </c>
      <c r="G370" s="37" t="str">
        <f aca="false">IF(AND(F369&lt;0,F370&gt;=0,A370&lt;=MAX(120,Premissas!$B$15*12)),(A370-1)+(-F369)/E370,"")</f>
        <v/>
      </c>
      <c r="H370" s="9" t="n">
        <f aca="false">Resultados!$E$38*$B370-Resultados!$F$38*$B370-Premissas!$B$24-Resultados!$E$38*$B370*(Premissas!$B$14/100)</f>
        <v>24432.4</v>
      </c>
      <c r="I370" s="9" t="n">
        <f aca="false">H370-$C370</f>
        <v>24432.4</v>
      </c>
      <c r="J370" s="9" t="n">
        <f aca="false">J369+I370</f>
        <v>8534817.48000005</v>
      </c>
      <c r="K370" s="37" t="str">
        <f aca="false">IF(AND(J369&lt;0,J370&gt;=0,A370&lt;=MAX(120,Premissas!$B$15*12)),(A370-1)+(-J369)/I370,"")</f>
        <v/>
      </c>
      <c r="L370" s="9" t="n">
        <f aca="false">Resultados!$E$39*$B370-Resultados!$F$39*$B370-Premissas!$B$24-Resultados!$E$39*$B370*(Premissas!$B$14/100)</f>
        <v>29837.8</v>
      </c>
      <c r="M370" s="9" t="n">
        <f aca="false">L370-$C370</f>
        <v>29837.8</v>
      </c>
      <c r="N370" s="9" t="n">
        <f aca="false">N369+M370</f>
        <v>10495356.06</v>
      </c>
      <c r="O370" s="37" t="str">
        <f aca="false">IF(AND(N369&lt;0,N370&gt;=0,A370&lt;=MAX(120,Premissas!$B$15*12)),(A370-1)+(-N369)/M370,"")</f>
        <v/>
      </c>
      <c r="P370" s="9" t="n">
        <f aca="false">Resultados!$B$19*$B370-Resultados!$B$20*$B370-Premissas!$B$24-Resultados!$B$19*$B370*(Premissas!$B$14/100)</f>
        <v>24432.4</v>
      </c>
      <c r="Q370" s="9" t="n">
        <f aca="false">P370-$C370</f>
        <v>24432.4</v>
      </c>
      <c r="R370" s="9" t="n">
        <f aca="false">R369+Q370</f>
        <v>8534817.48000005</v>
      </c>
      <c r="S370" s="37" t="str">
        <f aca="false">IF(AND(R369&lt;0,R370&gt;=0,A370&lt;=MAX(120,Premissas!$B$15*12)),(A370-1)+(-R369)/Q370,"")</f>
        <v/>
      </c>
    </row>
    <row r="371" customFormat="false" ht="15" hidden="false" customHeight="false" outlineLevel="0" collapsed="false">
      <c r="A371" s="10" t="n">
        <f aca="false">A370+1</f>
        <v>367</v>
      </c>
      <c r="B371" s="36" t="n">
        <f aca="false">IF(Premissas!$B$9&lt;=1,1,MIN(1,Premissas!$B$8/100+(1-Premissas!$B$8/100)*(A371-1)/(Premissas!$B$9-1)))</f>
        <v>1</v>
      </c>
      <c r="C371" s="9" t="n">
        <f aca="false">IF(A371&lt;=Resultados!$B$9,Resultados!$B$10,0)</f>
        <v>0</v>
      </c>
      <c r="D371" s="9" t="n">
        <f aca="false">Resultados!$E$37*$B371-Resultados!$F$37*$B371-Premissas!$B$24-Resultados!$E$37*$B371*(Premissas!$B$14/100)</f>
        <v>19027</v>
      </c>
      <c r="E371" s="9" t="n">
        <f aca="false">D371-$C371</f>
        <v>19027</v>
      </c>
      <c r="F371" s="9" t="n">
        <f aca="false">F370+E371</f>
        <v>6593305.9</v>
      </c>
      <c r="G371" s="37" t="str">
        <f aca="false">IF(AND(F370&lt;0,F371&gt;=0,A371&lt;=MAX(120,Premissas!$B$15*12)),(A371-1)+(-F370)/E371,"")</f>
        <v/>
      </c>
      <c r="H371" s="9" t="n">
        <f aca="false">Resultados!$E$38*$B371-Resultados!$F$38*$B371-Premissas!$B$24-Resultados!$E$38*$B371*(Premissas!$B$14/100)</f>
        <v>24432.4</v>
      </c>
      <c r="I371" s="9" t="n">
        <f aca="false">H371-$C371</f>
        <v>24432.4</v>
      </c>
      <c r="J371" s="9" t="n">
        <f aca="false">J370+I371</f>
        <v>8559249.88000006</v>
      </c>
      <c r="K371" s="37" t="str">
        <f aca="false">IF(AND(J370&lt;0,J371&gt;=0,A371&lt;=MAX(120,Premissas!$B$15*12)),(A371-1)+(-J370)/I371,"")</f>
        <v/>
      </c>
      <c r="L371" s="9" t="n">
        <f aca="false">Resultados!$E$39*$B371-Resultados!$F$39*$B371-Premissas!$B$24-Resultados!$E$39*$B371*(Premissas!$B$14/100)</f>
        <v>29837.8</v>
      </c>
      <c r="M371" s="9" t="n">
        <f aca="false">L371-$C371</f>
        <v>29837.8</v>
      </c>
      <c r="N371" s="9" t="n">
        <f aca="false">N370+M371</f>
        <v>10525193.86</v>
      </c>
      <c r="O371" s="37" t="str">
        <f aca="false">IF(AND(N370&lt;0,N371&gt;=0,A371&lt;=MAX(120,Premissas!$B$15*12)),(A371-1)+(-N370)/M371,"")</f>
        <v/>
      </c>
      <c r="P371" s="9" t="n">
        <f aca="false">Resultados!$B$19*$B371-Resultados!$B$20*$B371-Premissas!$B$24-Resultados!$B$19*$B371*(Premissas!$B$14/100)</f>
        <v>24432.4</v>
      </c>
      <c r="Q371" s="9" t="n">
        <f aca="false">P371-$C371</f>
        <v>24432.4</v>
      </c>
      <c r="R371" s="9" t="n">
        <f aca="false">R370+Q371</f>
        <v>8559249.88000006</v>
      </c>
      <c r="S371" s="37" t="str">
        <f aca="false">IF(AND(R370&lt;0,R371&gt;=0,A371&lt;=MAX(120,Premissas!$B$15*12)),(A371-1)+(-R370)/Q371,"")</f>
        <v/>
      </c>
    </row>
    <row r="372" customFormat="false" ht="15" hidden="false" customHeight="false" outlineLevel="0" collapsed="false">
      <c r="A372" s="10" t="n">
        <f aca="false">A371+1</f>
        <v>368</v>
      </c>
      <c r="B372" s="36" t="n">
        <f aca="false">IF(Premissas!$B$9&lt;=1,1,MIN(1,Premissas!$B$8/100+(1-Premissas!$B$8/100)*(A372-1)/(Premissas!$B$9-1)))</f>
        <v>1</v>
      </c>
      <c r="C372" s="9" t="n">
        <f aca="false">IF(A372&lt;=Resultados!$B$9,Resultados!$B$10,0)</f>
        <v>0</v>
      </c>
      <c r="D372" s="9" t="n">
        <f aca="false">Resultados!$E$37*$B372-Resultados!$F$37*$B372-Premissas!$B$24-Resultados!$E$37*$B372*(Premissas!$B$14/100)</f>
        <v>19027</v>
      </c>
      <c r="E372" s="9" t="n">
        <f aca="false">D372-$C372</f>
        <v>19027</v>
      </c>
      <c r="F372" s="9" t="n">
        <f aca="false">F371+E372</f>
        <v>6612332.9</v>
      </c>
      <c r="G372" s="37" t="str">
        <f aca="false">IF(AND(F371&lt;0,F372&gt;=0,A372&lt;=MAX(120,Premissas!$B$15*12)),(A372-1)+(-F371)/E372,"")</f>
        <v/>
      </c>
      <c r="H372" s="9" t="n">
        <f aca="false">Resultados!$E$38*$B372-Resultados!$F$38*$B372-Premissas!$B$24-Resultados!$E$38*$B372*(Premissas!$B$14/100)</f>
        <v>24432.4</v>
      </c>
      <c r="I372" s="9" t="n">
        <f aca="false">H372-$C372</f>
        <v>24432.4</v>
      </c>
      <c r="J372" s="9" t="n">
        <f aca="false">J371+I372</f>
        <v>8583682.28000006</v>
      </c>
      <c r="K372" s="37" t="str">
        <f aca="false">IF(AND(J371&lt;0,J372&gt;=0,A372&lt;=MAX(120,Premissas!$B$15*12)),(A372-1)+(-J371)/I372,"")</f>
        <v/>
      </c>
      <c r="L372" s="9" t="n">
        <f aca="false">Resultados!$E$39*$B372-Resultados!$F$39*$B372-Premissas!$B$24-Resultados!$E$39*$B372*(Premissas!$B$14/100)</f>
        <v>29837.8</v>
      </c>
      <c r="M372" s="9" t="n">
        <f aca="false">L372-$C372</f>
        <v>29837.8</v>
      </c>
      <c r="N372" s="9" t="n">
        <f aca="false">N371+M372</f>
        <v>10555031.66</v>
      </c>
      <c r="O372" s="37" t="str">
        <f aca="false">IF(AND(N371&lt;0,N372&gt;=0,A372&lt;=MAX(120,Premissas!$B$15*12)),(A372-1)+(-N371)/M372,"")</f>
        <v/>
      </c>
      <c r="P372" s="9" t="n">
        <f aca="false">Resultados!$B$19*$B372-Resultados!$B$20*$B372-Premissas!$B$24-Resultados!$B$19*$B372*(Premissas!$B$14/100)</f>
        <v>24432.4</v>
      </c>
      <c r="Q372" s="9" t="n">
        <f aca="false">P372-$C372</f>
        <v>24432.4</v>
      </c>
      <c r="R372" s="9" t="n">
        <f aca="false">R371+Q372</f>
        <v>8583682.28000006</v>
      </c>
      <c r="S372" s="37" t="str">
        <f aca="false">IF(AND(R371&lt;0,R372&gt;=0,A372&lt;=MAX(120,Premissas!$B$15*12)),(A372-1)+(-R371)/Q372,"")</f>
        <v/>
      </c>
    </row>
    <row r="373" customFormat="false" ht="15" hidden="false" customHeight="false" outlineLevel="0" collapsed="false">
      <c r="A373" s="10" t="n">
        <f aca="false">A372+1</f>
        <v>369</v>
      </c>
      <c r="B373" s="36" t="n">
        <f aca="false">IF(Premissas!$B$9&lt;=1,1,MIN(1,Premissas!$B$8/100+(1-Premissas!$B$8/100)*(A373-1)/(Premissas!$B$9-1)))</f>
        <v>1</v>
      </c>
      <c r="C373" s="9" t="n">
        <f aca="false">IF(A373&lt;=Resultados!$B$9,Resultados!$B$10,0)</f>
        <v>0</v>
      </c>
      <c r="D373" s="9" t="n">
        <f aca="false">Resultados!$E$37*$B373-Resultados!$F$37*$B373-Premissas!$B$24-Resultados!$E$37*$B373*(Premissas!$B$14/100)</f>
        <v>19027</v>
      </c>
      <c r="E373" s="9" t="n">
        <f aca="false">D373-$C373</f>
        <v>19027</v>
      </c>
      <c r="F373" s="9" t="n">
        <f aca="false">F372+E373</f>
        <v>6631359.9</v>
      </c>
      <c r="G373" s="37" t="str">
        <f aca="false">IF(AND(F372&lt;0,F373&gt;=0,A373&lt;=MAX(120,Premissas!$B$15*12)),(A373-1)+(-F372)/E373,"")</f>
        <v/>
      </c>
      <c r="H373" s="9" t="n">
        <f aca="false">Resultados!$E$38*$B373-Resultados!$F$38*$B373-Premissas!$B$24-Resultados!$E$38*$B373*(Premissas!$B$14/100)</f>
        <v>24432.4</v>
      </c>
      <c r="I373" s="9" t="n">
        <f aca="false">H373-$C373</f>
        <v>24432.4</v>
      </c>
      <c r="J373" s="9" t="n">
        <f aca="false">J372+I373</f>
        <v>8608114.68000006</v>
      </c>
      <c r="K373" s="37" t="str">
        <f aca="false">IF(AND(J372&lt;0,J373&gt;=0,A373&lt;=MAX(120,Premissas!$B$15*12)),(A373-1)+(-J372)/I373,"")</f>
        <v/>
      </c>
      <c r="L373" s="9" t="n">
        <f aca="false">Resultados!$E$39*$B373-Resultados!$F$39*$B373-Premissas!$B$24-Resultados!$E$39*$B373*(Premissas!$B$14/100)</f>
        <v>29837.8</v>
      </c>
      <c r="M373" s="9" t="n">
        <f aca="false">L373-$C373</f>
        <v>29837.8</v>
      </c>
      <c r="N373" s="9" t="n">
        <f aca="false">N372+M373</f>
        <v>10584869.46</v>
      </c>
      <c r="O373" s="37" t="str">
        <f aca="false">IF(AND(N372&lt;0,N373&gt;=0,A373&lt;=MAX(120,Premissas!$B$15*12)),(A373-1)+(-N372)/M373,"")</f>
        <v/>
      </c>
      <c r="P373" s="9" t="n">
        <f aca="false">Resultados!$B$19*$B373-Resultados!$B$20*$B373-Premissas!$B$24-Resultados!$B$19*$B373*(Premissas!$B$14/100)</f>
        <v>24432.4</v>
      </c>
      <c r="Q373" s="9" t="n">
        <f aca="false">P373-$C373</f>
        <v>24432.4</v>
      </c>
      <c r="R373" s="9" t="n">
        <f aca="false">R372+Q373</f>
        <v>8608114.68000006</v>
      </c>
      <c r="S373" s="37" t="str">
        <f aca="false">IF(AND(R372&lt;0,R373&gt;=0,A373&lt;=MAX(120,Premissas!$B$15*12)),(A373-1)+(-R372)/Q373,"")</f>
        <v/>
      </c>
    </row>
    <row r="374" customFormat="false" ht="15" hidden="false" customHeight="false" outlineLevel="0" collapsed="false">
      <c r="A374" s="10" t="n">
        <f aca="false">A373+1</f>
        <v>370</v>
      </c>
      <c r="B374" s="36" t="n">
        <f aca="false">IF(Premissas!$B$9&lt;=1,1,MIN(1,Premissas!$B$8/100+(1-Premissas!$B$8/100)*(A374-1)/(Premissas!$B$9-1)))</f>
        <v>1</v>
      </c>
      <c r="C374" s="9" t="n">
        <f aca="false">IF(A374&lt;=Resultados!$B$9,Resultados!$B$10,0)</f>
        <v>0</v>
      </c>
      <c r="D374" s="9" t="n">
        <f aca="false">Resultados!$E$37*$B374-Resultados!$F$37*$B374-Premissas!$B$24-Resultados!$E$37*$B374*(Premissas!$B$14/100)</f>
        <v>19027</v>
      </c>
      <c r="E374" s="9" t="n">
        <f aca="false">D374-$C374</f>
        <v>19027</v>
      </c>
      <c r="F374" s="9" t="n">
        <f aca="false">F373+E374</f>
        <v>6650386.9</v>
      </c>
      <c r="G374" s="37" t="str">
        <f aca="false">IF(AND(F373&lt;0,F374&gt;=0,A374&lt;=MAX(120,Premissas!$B$15*12)),(A374-1)+(-F373)/E374,"")</f>
        <v/>
      </c>
      <c r="H374" s="9" t="n">
        <f aca="false">Resultados!$E$38*$B374-Resultados!$F$38*$B374-Premissas!$B$24-Resultados!$E$38*$B374*(Premissas!$B$14/100)</f>
        <v>24432.4</v>
      </c>
      <c r="I374" s="9" t="n">
        <f aca="false">H374-$C374</f>
        <v>24432.4</v>
      </c>
      <c r="J374" s="9" t="n">
        <f aca="false">J373+I374</f>
        <v>8632547.08000006</v>
      </c>
      <c r="K374" s="37" t="str">
        <f aca="false">IF(AND(J373&lt;0,J374&gt;=0,A374&lt;=MAX(120,Premissas!$B$15*12)),(A374-1)+(-J373)/I374,"")</f>
        <v/>
      </c>
      <c r="L374" s="9" t="n">
        <f aca="false">Resultados!$E$39*$B374-Resultados!$F$39*$B374-Premissas!$B$24-Resultados!$E$39*$B374*(Premissas!$B$14/100)</f>
        <v>29837.8</v>
      </c>
      <c r="M374" s="9" t="n">
        <f aca="false">L374-$C374</f>
        <v>29837.8</v>
      </c>
      <c r="N374" s="9" t="n">
        <f aca="false">N373+M374</f>
        <v>10614707.26</v>
      </c>
      <c r="O374" s="37" t="str">
        <f aca="false">IF(AND(N373&lt;0,N374&gt;=0,A374&lt;=MAX(120,Premissas!$B$15*12)),(A374-1)+(-N373)/M374,"")</f>
        <v/>
      </c>
      <c r="P374" s="9" t="n">
        <f aca="false">Resultados!$B$19*$B374-Resultados!$B$20*$B374-Premissas!$B$24-Resultados!$B$19*$B374*(Premissas!$B$14/100)</f>
        <v>24432.4</v>
      </c>
      <c r="Q374" s="9" t="n">
        <f aca="false">P374-$C374</f>
        <v>24432.4</v>
      </c>
      <c r="R374" s="9" t="n">
        <f aca="false">R373+Q374</f>
        <v>8632547.08000006</v>
      </c>
      <c r="S374" s="37" t="str">
        <f aca="false">IF(AND(R373&lt;0,R374&gt;=0,A374&lt;=MAX(120,Premissas!$B$15*12)),(A374-1)+(-R373)/Q374,"")</f>
        <v/>
      </c>
    </row>
    <row r="375" customFormat="false" ht="15" hidden="false" customHeight="false" outlineLevel="0" collapsed="false">
      <c r="A375" s="10" t="n">
        <f aca="false">A374+1</f>
        <v>371</v>
      </c>
      <c r="B375" s="36" t="n">
        <f aca="false">IF(Premissas!$B$9&lt;=1,1,MIN(1,Premissas!$B$8/100+(1-Premissas!$B$8/100)*(A375-1)/(Premissas!$B$9-1)))</f>
        <v>1</v>
      </c>
      <c r="C375" s="9" t="n">
        <f aca="false">IF(A375&lt;=Resultados!$B$9,Resultados!$B$10,0)</f>
        <v>0</v>
      </c>
      <c r="D375" s="9" t="n">
        <f aca="false">Resultados!$E$37*$B375-Resultados!$F$37*$B375-Premissas!$B$24-Resultados!$E$37*$B375*(Premissas!$B$14/100)</f>
        <v>19027</v>
      </c>
      <c r="E375" s="9" t="n">
        <f aca="false">D375-$C375</f>
        <v>19027</v>
      </c>
      <c r="F375" s="9" t="n">
        <f aca="false">F374+E375</f>
        <v>6669413.9</v>
      </c>
      <c r="G375" s="37" t="str">
        <f aca="false">IF(AND(F374&lt;0,F375&gt;=0,A375&lt;=MAX(120,Premissas!$B$15*12)),(A375-1)+(-F374)/E375,"")</f>
        <v/>
      </c>
      <c r="H375" s="9" t="n">
        <f aca="false">Resultados!$E$38*$B375-Resultados!$F$38*$B375-Premissas!$B$24-Resultados!$E$38*$B375*(Premissas!$B$14/100)</f>
        <v>24432.4</v>
      </c>
      <c r="I375" s="9" t="n">
        <f aca="false">H375-$C375</f>
        <v>24432.4</v>
      </c>
      <c r="J375" s="9" t="n">
        <f aca="false">J374+I375</f>
        <v>8656979.48000006</v>
      </c>
      <c r="K375" s="37" t="str">
        <f aca="false">IF(AND(J374&lt;0,J375&gt;=0,A375&lt;=MAX(120,Premissas!$B$15*12)),(A375-1)+(-J374)/I375,"")</f>
        <v/>
      </c>
      <c r="L375" s="9" t="n">
        <f aca="false">Resultados!$E$39*$B375-Resultados!$F$39*$B375-Premissas!$B$24-Resultados!$E$39*$B375*(Premissas!$B$14/100)</f>
        <v>29837.8</v>
      </c>
      <c r="M375" s="9" t="n">
        <f aca="false">L375-$C375</f>
        <v>29837.8</v>
      </c>
      <c r="N375" s="9" t="n">
        <f aca="false">N374+M375</f>
        <v>10644545.06</v>
      </c>
      <c r="O375" s="37" t="str">
        <f aca="false">IF(AND(N374&lt;0,N375&gt;=0,A375&lt;=MAX(120,Premissas!$B$15*12)),(A375-1)+(-N374)/M375,"")</f>
        <v/>
      </c>
      <c r="P375" s="9" t="n">
        <f aca="false">Resultados!$B$19*$B375-Resultados!$B$20*$B375-Premissas!$B$24-Resultados!$B$19*$B375*(Premissas!$B$14/100)</f>
        <v>24432.4</v>
      </c>
      <c r="Q375" s="9" t="n">
        <f aca="false">P375-$C375</f>
        <v>24432.4</v>
      </c>
      <c r="R375" s="9" t="n">
        <f aca="false">R374+Q375</f>
        <v>8656979.48000006</v>
      </c>
      <c r="S375" s="37" t="str">
        <f aca="false">IF(AND(R374&lt;0,R375&gt;=0,A375&lt;=MAX(120,Premissas!$B$15*12)),(A375-1)+(-R374)/Q375,"")</f>
        <v/>
      </c>
    </row>
    <row r="376" customFormat="false" ht="15" hidden="false" customHeight="false" outlineLevel="0" collapsed="false">
      <c r="A376" s="10" t="n">
        <f aca="false">A375+1</f>
        <v>372</v>
      </c>
      <c r="B376" s="36" t="n">
        <f aca="false">IF(Premissas!$B$9&lt;=1,1,MIN(1,Premissas!$B$8/100+(1-Premissas!$B$8/100)*(A376-1)/(Premissas!$B$9-1)))</f>
        <v>1</v>
      </c>
      <c r="C376" s="9" t="n">
        <f aca="false">IF(A376&lt;=Resultados!$B$9,Resultados!$B$10,0)</f>
        <v>0</v>
      </c>
      <c r="D376" s="9" t="n">
        <f aca="false">Resultados!$E$37*$B376-Resultados!$F$37*$B376-Premissas!$B$24-Resultados!$E$37*$B376*(Premissas!$B$14/100)</f>
        <v>19027</v>
      </c>
      <c r="E376" s="9" t="n">
        <f aca="false">D376-$C376</f>
        <v>19027</v>
      </c>
      <c r="F376" s="9" t="n">
        <f aca="false">F375+E376</f>
        <v>6688440.9</v>
      </c>
      <c r="G376" s="37" t="str">
        <f aca="false">IF(AND(F375&lt;0,F376&gt;=0,A376&lt;=MAX(120,Premissas!$B$15*12)),(A376-1)+(-F375)/E376,"")</f>
        <v/>
      </c>
      <c r="H376" s="9" t="n">
        <f aca="false">Resultados!$E$38*$B376-Resultados!$F$38*$B376-Premissas!$B$24-Resultados!$E$38*$B376*(Premissas!$B$14/100)</f>
        <v>24432.4</v>
      </c>
      <c r="I376" s="9" t="n">
        <f aca="false">H376-$C376</f>
        <v>24432.4</v>
      </c>
      <c r="J376" s="9" t="n">
        <f aca="false">J375+I376</f>
        <v>8681411.88000006</v>
      </c>
      <c r="K376" s="37" t="str">
        <f aca="false">IF(AND(J375&lt;0,J376&gt;=0,A376&lt;=MAX(120,Premissas!$B$15*12)),(A376-1)+(-J375)/I376,"")</f>
        <v/>
      </c>
      <c r="L376" s="9" t="n">
        <f aca="false">Resultados!$E$39*$B376-Resultados!$F$39*$B376-Premissas!$B$24-Resultados!$E$39*$B376*(Premissas!$B$14/100)</f>
        <v>29837.8</v>
      </c>
      <c r="M376" s="9" t="n">
        <f aca="false">L376-$C376</f>
        <v>29837.8</v>
      </c>
      <c r="N376" s="9" t="n">
        <f aca="false">N375+M376</f>
        <v>10674382.86</v>
      </c>
      <c r="O376" s="37" t="str">
        <f aca="false">IF(AND(N375&lt;0,N376&gt;=0,A376&lt;=MAX(120,Premissas!$B$15*12)),(A376-1)+(-N375)/M376,"")</f>
        <v/>
      </c>
      <c r="P376" s="9" t="n">
        <f aca="false">Resultados!$B$19*$B376-Resultados!$B$20*$B376-Premissas!$B$24-Resultados!$B$19*$B376*(Premissas!$B$14/100)</f>
        <v>24432.4</v>
      </c>
      <c r="Q376" s="9" t="n">
        <f aca="false">P376-$C376</f>
        <v>24432.4</v>
      </c>
      <c r="R376" s="9" t="n">
        <f aca="false">R375+Q376</f>
        <v>8681411.88000006</v>
      </c>
      <c r="S376" s="37" t="str">
        <f aca="false">IF(AND(R375&lt;0,R376&gt;=0,A376&lt;=MAX(120,Premissas!$B$15*12)),(A376-1)+(-R375)/Q376,"")</f>
        <v/>
      </c>
    </row>
    <row r="377" customFormat="false" ht="15" hidden="false" customHeight="false" outlineLevel="0" collapsed="false">
      <c r="A377" s="10" t="n">
        <f aca="false">A376+1</f>
        <v>373</v>
      </c>
      <c r="B377" s="36" t="n">
        <f aca="false">IF(Premissas!$B$9&lt;=1,1,MIN(1,Premissas!$B$8/100+(1-Premissas!$B$8/100)*(A377-1)/(Premissas!$B$9-1)))</f>
        <v>1</v>
      </c>
      <c r="C377" s="9" t="n">
        <f aca="false">IF(A377&lt;=Resultados!$B$9,Resultados!$B$10,0)</f>
        <v>0</v>
      </c>
      <c r="D377" s="9" t="n">
        <f aca="false">Resultados!$E$37*$B377-Resultados!$F$37*$B377-Premissas!$B$24-Resultados!$E$37*$B377*(Premissas!$B$14/100)</f>
        <v>19027</v>
      </c>
      <c r="E377" s="9" t="n">
        <f aca="false">D377-$C377</f>
        <v>19027</v>
      </c>
      <c r="F377" s="9" t="n">
        <f aca="false">F376+E377</f>
        <v>6707467.9</v>
      </c>
      <c r="G377" s="37" t="str">
        <f aca="false">IF(AND(F376&lt;0,F377&gt;=0,A377&lt;=MAX(120,Premissas!$B$15*12)),(A377-1)+(-F376)/E377,"")</f>
        <v/>
      </c>
      <c r="H377" s="9" t="n">
        <f aca="false">Resultados!$E$38*$B377-Resultados!$F$38*$B377-Premissas!$B$24-Resultados!$E$38*$B377*(Premissas!$B$14/100)</f>
        <v>24432.4</v>
      </c>
      <c r="I377" s="9" t="n">
        <f aca="false">H377-$C377</f>
        <v>24432.4</v>
      </c>
      <c r="J377" s="9" t="n">
        <f aca="false">J376+I377</f>
        <v>8705844.28000006</v>
      </c>
      <c r="K377" s="37" t="str">
        <f aca="false">IF(AND(J376&lt;0,J377&gt;=0,A377&lt;=MAX(120,Premissas!$B$15*12)),(A377-1)+(-J376)/I377,"")</f>
        <v/>
      </c>
      <c r="L377" s="9" t="n">
        <f aca="false">Resultados!$E$39*$B377-Resultados!$F$39*$B377-Premissas!$B$24-Resultados!$E$39*$B377*(Premissas!$B$14/100)</f>
        <v>29837.8</v>
      </c>
      <c r="M377" s="9" t="n">
        <f aca="false">L377-$C377</f>
        <v>29837.8</v>
      </c>
      <c r="N377" s="9" t="n">
        <f aca="false">N376+M377</f>
        <v>10704220.66</v>
      </c>
      <c r="O377" s="37" t="str">
        <f aca="false">IF(AND(N376&lt;0,N377&gt;=0,A377&lt;=MAX(120,Premissas!$B$15*12)),(A377-1)+(-N376)/M377,"")</f>
        <v/>
      </c>
      <c r="P377" s="9" t="n">
        <f aca="false">Resultados!$B$19*$B377-Resultados!$B$20*$B377-Premissas!$B$24-Resultados!$B$19*$B377*(Premissas!$B$14/100)</f>
        <v>24432.4</v>
      </c>
      <c r="Q377" s="9" t="n">
        <f aca="false">P377-$C377</f>
        <v>24432.4</v>
      </c>
      <c r="R377" s="9" t="n">
        <f aca="false">R376+Q377</f>
        <v>8705844.28000006</v>
      </c>
      <c r="S377" s="37" t="str">
        <f aca="false">IF(AND(R376&lt;0,R377&gt;=0,A377&lt;=MAX(120,Premissas!$B$15*12)),(A377-1)+(-R376)/Q377,"")</f>
        <v/>
      </c>
    </row>
    <row r="378" customFormat="false" ht="15" hidden="false" customHeight="false" outlineLevel="0" collapsed="false">
      <c r="A378" s="10" t="n">
        <f aca="false">A377+1</f>
        <v>374</v>
      </c>
      <c r="B378" s="36" t="n">
        <f aca="false">IF(Premissas!$B$9&lt;=1,1,MIN(1,Premissas!$B$8/100+(1-Premissas!$B$8/100)*(A378-1)/(Premissas!$B$9-1)))</f>
        <v>1</v>
      </c>
      <c r="C378" s="9" t="n">
        <f aca="false">IF(A378&lt;=Resultados!$B$9,Resultados!$B$10,0)</f>
        <v>0</v>
      </c>
      <c r="D378" s="9" t="n">
        <f aca="false">Resultados!$E$37*$B378-Resultados!$F$37*$B378-Premissas!$B$24-Resultados!$E$37*$B378*(Premissas!$B$14/100)</f>
        <v>19027</v>
      </c>
      <c r="E378" s="9" t="n">
        <f aca="false">D378-$C378</f>
        <v>19027</v>
      </c>
      <c r="F378" s="9" t="n">
        <f aca="false">F377+E378</f>
        <v>6726494.9</v>
      </c>
      <c r="G378" s="37" t="str">
        <f aca="false">IF(AND(F377&lt;0,F378&gt;=0,A378&lt;=MAX(120,Premissas!$B$15*12)),(A378-1)+(-F377)/E378,"")</f>
        <v/>
      </c>
      <c r="H378" s="9" t="n">
        <f aca="false">Resultados!$E$38*$B378-Resultados!$F$38*$B378-Premissas!$B$24-Resultados!$E$38*$B378*(Premissas!$B$14/100)</f>
        <v>24432.4</v>
      </c>
      <c r="I378" s="9" t="n">
        <f aca="false">H378-$C378</f>
        <v>24432.4</v>
      </c>
      <c r="J378" s="9" t="n">
        <f aca="false">J377+I378</f>
        <v>8730276.68000006</v>
      </c>
      <c r="K378" s="37" t="str">
        <f aca="false">IF(AND(J377&lt;0,J378&gt;=0,A378&lt;=MAX(120,Premissas!$B$15*12)),(A378-1)+(-J377)/I378,"")</f>
        <v/>
      </c>
      <c r="L378" s="9" t="n">
        <f aca="false">Resultados!$E$39*$B378-Resultados!$F$39*$B378-Premissas!$B$24-Resultados!$E$39*$B378*(Premissas!$B$14/100)</f>
        <v>29837.8</v>
      </c>
      <c r="M378" s="9" t="n">
        <f aca="false">L378-$C378</f>
        <v>29837.8</v>
      </c>
      <c r="N378" s="9" t="n">
        <f aca="false">N377+M378</f>
        <v>10734058.46</v>
      </c>
      <c r="O378" s="37" t="str">
        <f aca="false">IF(AND(N377&lt;0,N378&gt;=0,A378&lt;=MAX(120,Premissas!$B$15*12)),(A378-1)+(-N377)/M378,"")</f>
        <v/>
      </c>
      <c r="P378" s="9" t="n">
        <f aca="false">Resultados!$B$19*$B378-Resultados!$B$20*$B378-Premissas!$B$24-Resultados!$B$19*$B378*(Premissas!$B$14/100)</f>
        <v>24432.4</v>
      </c>
      <c r="Q378" s="9" t="n">
        <f aca="false">P378-$C378</f>
        <v>24432.4</v>
      </c>
      <c r="R378" s="9" t="n">
        <f aca="false">R377+Q378</f>
        <v>8730276.68000006</v>
      </c>
      <c r="S378" s="37" t="str">
        <f aca="false">IF(AND(R377&lt;0,R378&gt;=0,A378&lt;=MAX(120,Premissas!$B$15*12)),(A378-1)+(-R377)/Q378,"")</f>
        <v/>
      </c>
    </row>
    <row r="379" customFormat="false" ht="15" hidden="false" customHeight="false" outlineLevel="0" collapsed="false">
      <c r="A379" s="10" t="n">
        <f aca="false">A378+1</f>
        <v>375</v>
      </c>
      <c r="B379" s="36" t="n">
        <f aca="false">IF(Premissas!$B$9&lt;=1,1,MIN(1,Premissas!$B$8/100+(1-Premissas!$B$8/100)*(A379-1)/(Premissas!$B$9-1)))</f>
        <v>1</v>
      </c>
      <c r="C379" s="9" t="n">
        <f aca="false">IF(A379&lt;=Resultados!$B$9,Resultados!$B$10,0)</f>
        <v>0</v>
      </c>
      <c r="D379" s="9" t="n">
        <f aca="false">Resultados!$E$37*$B379-Resultados!$F$37*$B379-Premissas!$B$24-Resultados!$E$37*$B379*(Premissas!$B$14/100)</f>
        <v>19027</v>
      </c>
      <c r="E379" s="9" t="n">
        <f aca="false">D379-$C379</f>
        <v>19027</v>
      </c>
      <c r="F379" s="9" t="n">
        <f aca="false">F378+E379</f>
        <v>6745521.9</v>
      </c>
      <c r="G379" s="37" t="str">
        <f aca="false">IF(AND(F378&lt;0,F379&gt;=0,A379&lt;=MAX(120,Premissas!$B$15*12)),(A379-1)+(-F378)/E379,"")</f>
        <v/>
      </c>
      <c r="H379" s="9" t="n">
        <f aca="false">Resultados!$E$38*$B379-Resultados!$F$38*$B379-Premissas!$B$24-Resultados!$E$38*$B379*(Premissas!$B$14/100)</f>
        <v>24432.4</v>
      </c>
      <c r="I379" s="9" t="n">
        <f aca="false">H379-$C379</f>
        <v>24432.4</v>
      </c>
      <c r="J379" s="9" t="n">
        <f aca="false">J378+I379</f>
        <v>8754709.08000006</v>
      </c>
      <c r="K379" s="37" t="str">
        <f aca="false">IF(AND(J378&lt;0,J379&gt;=0,A379&lt;=MAX(120,Premissas!$B$15*12)),(A379-1)+(-J378)/I379,"")</f>
        <v/>
      </c>
      <c r="L379" s="9" t="n">
        <f aca="false">Resultados!$E$39*$B379-Resultados!$F$39*$B379-Premissas!$B$24-Resultados!$E$39*$B379*(Premissas!$B$14/100)</f>
        <v>29837.8</v>
      </c>
      <c r="M379" s="9" t="n">
        <f aca="false">L379-$C379</f>
        <v>29837.8</v>
      </c>
      <c r="N379" s="9" t="n">
        <f aca="false">N378+M379</f>
        <v>10763896.26</v>
      </c>
      <c r="O379" s="37" t="str">
        <f aca="false">IF(AND(N378&lt;0,N379&gt;=0,A379&lt;=MAX(120,Premissas!$B$15*12)),(A379-1)+(-N378)/M379,"")</f>
        <v/>
      </c>
      <c r="P379" s="9" t="n">
        <f aca="false">Resultados!$B$19*$B379-Resultados!$B$20*$B379-Premissas!$B$24-Resultados!$B$19*$B379*(Premissas!$B$14/100)</f>
        <v>24432.4</v>
      </c>
      <c r="Q379" s="9" t="n">
        <f aca="false">P379-$C379</f>
        <v>24432.4</v>
      </c>
      <c r="R379" s="9" t="n">
        <f aca="false">R378+Q379</f>
        <v>8754709.08000006</v>
      </c>
      <c r="S379" s="37" t="str">
        <f aca="false">IF(AND(R378&lt;0,R379&gt;=0,A379&lt;=MAX(120,Premissas!$B$15*12)),(A379-1)+(-R378)/Q379,"")</f>
        <v/>
      </c>
    </row>
    <row r="380" customFormat="false" ht="15" hidden="false" customHeight="false" outlineLevel="0" collapsed="false">
      <c r="A380" s="10" t="n">
        <f aca="false">A379+1</f>
        <v>376</v>
      </c>
      <c r="B380" s="36" t="n">
        <f aca="false">IF(Premissas!$B$9&lt;=1,1,MIN(1,Premissas!$B$8/100+(1-Premissas!$B$8/100)*(A380-1)/(Premissas!$B$9-1)))</f>
        <v>1</v>
      </c>
      <c r="C380" s="9" t="n">
        <f aca="false">IF(A380&lt;=Resultados!$B$9,Resultados!$B$10,0)</f>
        <v>0</v>
      </c>
      <c r="D380" s="9" t="n">
        <f aca="false">Resultados!$E$37*$B380-Resultados!$F$37*$B380-Premissas!$B$24-Resultados!$E$37*$B380*(Premissas!$B$14/100)</f>
        <v>19027</v>
      </c>
      <c r="E380" s="9" t="n">
        <f aca="false">D380-$C380</f>
        <v>19027</v>
      </c>
      <c r="F380" s="9" t="n">
        <f aca="false">F379+E380</f>
        <v>6764548.9</v>
      </c>
      <c r="G380" s="37" t="str">
        <f aca="false">IF(AND(F379&lt;0,F380&gt;=0,A380&lt;=MAX(120,Premissas!$B$15*12)),(A380-1)+(-F379)/E380,"")</f>
        <v/>
      </c>
      <c r="H380" s="9" t="n">
        <f aca="false">Resultados!$E$38*$B380-Resultados!$F$38*$B380-Premissas!$B$24-Resultados!$E$38*$B380*(Premissas!$B$14/100)</f>
        <v>24432.4</v>
      </c>
      <c r="I380" s="9" t="n">
        <f aca="false">H380-$C380</f>
        <v>24432.4</v>
      </c>
      <c r="J380" s="9" t="n">
        <f aca="false">J379+I380</f>
        <v>8779141.48000006</v>
      </c>
      <c r="K380" s="37" t="str">
        <f aca="false">IF(AND(J379&lt;0,J380&gt;=0,A380&lt;=MAX(120,Premissas!$B$15*12)),(A380-1)+(-J379)/I380,"")</f>
        <v/>
      </c>
      <c r="L380" s="9" t="n">
        <f aca="false">Resultados!$E$39*$B380-Resultados!$F$39*$B380-Premissas!$B$24-Resultados!$E$39*$B380*(Premissas!$B$14/100)</f>
        <v>29837.8</v>
      </c>
      <c r="M380" s="9" t="n">
        <f aca="false">L380-$C380</f>
        <v>29837.8</v>
      </c>
      <c r="N380" s="9" t="n">
        <f aca="false">N379+M380</f>
        <v>10793734.06</v>
      </c>
      <c r="O380" s="37" t="str">
        <f aca="false">IF(AND(N379&lt;0,N380&gt;=0,A380&lt;=MAX(120,Premissas!$B$15*12)),(A380-1)+(-N379)/M380,"")</f>
        <v/>
      </c>
      <c r="P380" s="9" t="n">
        <f aca="false">Resultados!$B$19*$B380-Resultados!$B$20*$B380-Premissas!$B$24-Resultados!$B$19*$B380*(Premissas!$B$14/100)</f>
        <v>24432.4</v>
      </c>
      <c r="Q380" s="9" t="n">
        <f aca="false">P380-$C380</f>
        <v>24432.4</v>
      </c>
      <c r="R380" s="9" t="n">
        <f aca="false">R379+Q380</f>
        <v>8779141.48000006</v>
      </c>
      <c r="S380" s="37" t="str">
        <f aca="false">IF(AND(R379&lt;0,R380&gt;=0,A380&lt;=MAX(120,Premissas!$B$15*12)),(A380-1)+(-R379)/Q380,"")</f>
        <v/>
      </c>
    </row>
    <row r="381" customFormat="false" ht="15" hidden="false" customHeight="false" outlineLevel="0" collapsed="false">
      <c r="A381" s="10" t="n">
        <f aca="false">A380+1</f>
        <v>377</v>
      </c>
      <c r="B381" s="36" t="n">
        <f aca="false">IF(Premissas!$B$9&lt;=1,1,MIN(1,Premissas!$B$8/100+(1-Premissas!$B$8/100)*(A381-1)/(Premissas!$B$9-1)))</f>
        <v>1</v>
      </c>
      <c r="C381" s="9" t="n">
        <f aca="false">IF(A381&lt;=Resultados!$B$9,Resultados!$B$10,0)</f>
        <v>0</v>
      </c>
      <c r="D381" s="9" t="n">
        <f aca="false">Resultados!$E$37*$B381-Resultados!$F$37*$B381-Premissas!$B$24-Resultados!$E$37*$B381*(Premissas!$B$14/100)</f>
        <v>19027</v>
      </c>
      <c r="E381" s="9" t="n">
        <f aca="false">D381-$C381</f>
        <v>19027</v>
      </c>
      <c r="F381" s="9" t="n">
        <f aca="false">F380+E381</f>
        <v>6783575.9</v>
      </c>
      <c r="G381" s="37" t="str">
        <f aca="false">IF(AND(F380&lt;0,F381&gt;=0,A381&lt;=MAX(120,Premissas!$B$15*12)),(A381-1)+(-F380)/E381,"")</f>
        <v/>
      </c>
      <c r="H381" s="9" t="n">
        <f aca="false">Resultados!$E$38*$B381-Resultados!$F$38*$B381-Premissas!$B$24-Resultados!$E$38*$B381*(Premissas!$B$14/100)</f>
        <v>24432.4</v>
      </c>
      <c r="I381" s="9" t="n">
        <f aca="false">H381-$C381</f>
        <v>24432.4</v>
      </c>
      <c r="J381" s="9" t="n">
        <f aca="false">J380+I381</f>
        <v>8803573.88000006</v>
      </c>
      <c r="K381" s="37" t="str">
        <f aca="false">IF(AND(J380&lt;0,J381&gt;=0,A381&lt;=MAX(120,Premissas!$B$15*12)),(A381-1)+(-J380)/I381,"")</f>
        <v/>
      </c>
      <c r="L381" s="9" t="n">
        <f aca="false">Resultados!$E$39*$B381-Resultados!$F$39*$B381-Premissas!$B$24-Resultados!$E$39*$B381*(Premissas!$B$14/100)</f>
        <v>29837.8</v>
      </c>
      <c r="M381" s="9" t="n">
        <f aca="false">L381-$C381</f>
        <v>29837.8</v>
      </c>
      <c r="N381" s="9" t="n">
        <f aca="false">N380+M381</f>
        <v>10823571.86</v>
      </c>
      <c r="O381" s="37" t="str">
        <f aca="false">IF(AND(N380&lt;0,N381&gt;=0,A381&lt;=MAX(120,Premissas!$B$15*12)),(A381-1)+(-N380)/M381,"")</f>
        <v/>
      </c>
      <c r="P381" s="9" t="n">
        <f aca="false">Resultados!$B$19*$B381-Resultados!$B$20*$B381-Premissas!$B$24-Resultados!$B$19*$B381*(Premissas!$B$14/100)</f>
        <v>24432.4</v>
      </c>
      <c r="Q381" s="9" t="n">
        <f aca="false">P381-$C381</f>
        <v>24432.4</v>
      </c>
      <c r="R381" s="9" t="n">
        <f aca="false">R380+Q381</f>
        <v>8803573.88000006</v>
      </c>
      <c r="S381" s="37" t="str">
        <f aca="false">IF(AND(R380&lt;0,R381&gt;=0,A381&lt;=MAX(120,Premissas!$B$15*12)),(A381-1)+(-R380)/Q381,"")</f>
        <v/>
      </c>
    </row>
    <row r="382" customFormat="false" ht="15" hidden="false" customHeight="false" outlineLevel="0" collapsed="false">
      <c r="A382" s="10" t="n">
        <f aca="false">A381+1</f>
        <v>378</v>
      </c>
      <c r="B382" s="36" t="n">
        <f aca="false">IF(Premissas!$B$9&lt;=1,1,MIN(1,Premissas!$B$8/100+(1-Premissas!$B$8/100)*(A382-1)/(Premissas!$B$9-1)))</f>
        <v>1</v>
      </c>
      <c r="C382" s="9" t="n">
        <f aca="false">IF(A382&lt;=Resultados!$B$9,Resultados!$B$10,0)</f>
        <v>0</v>
      </c>
      <c r="D382" s="9" t="n">
        <f aca="false">Resultados!$E$37*$B382-Resultados!$F$37*$B382-Premissas!$B$24-Resultados!$E$37*$B382*(Premissas!$B$14/100)</f>
        <v>19027</v>
      </c>
      <c r="E382" s="9" t="n">
        <f aca="false">D382-$C382</f>
        <v>19027</v>
      </c>
      <c r="F382" s="9" t="n">
        <f aca="false">F381+E382</f>
        <v>6802602.9</v>
      </c>
      <c r="G382" s="37" t="str">
        <f aca="false">IF(AND(F381&lt;0,F382&gt;=0,A382&lt;=MAX(120,Premissas!$B$15*12)),(A382-1)+(-F381)/E382,"")</f>
        <v/>
      </c>
      <c r="H382" s="9" t="n">
        <f aca="false">Resultados!$E$38*$B382-Resultados!$F$38*$B382-Premissas!$B$24-Resultados!$E$38*$B382*(Premissas!$B$14/100)</f>
        <v>24432.4</v>
      </c>
      <c r="I382" s="9" t="n">
        <f aca="false">H382-$C382</f>
        <v>24432.4</v>
      </c>
      <c r="J382" s="9" t="n">
        <f aca="false">J381+I382</f>
        <v>8828006.28000006</v>
      </c>
      <c r="K382" s="37" t="str">
        <f aca="false">IF(AND(J381&lt;0,J382&gt;=0,A382&lt;=MAX(120,Premissas!$B$15*12)),(A382-1)+(-J381)/I382,"")</f>
        <v/>
      </c>
      <c r="L382" s="9" t="n">
        <f aca="false">Resultados!$E$39*$B382-Resultados!$F$39*$B382-Premissas!$B$24-Resultados!$E$39*$B382*(Premissas!$B$14/100)</f>
        <v>29837.8</v>
      </c>
      <c r="M382" s="9" t="n">
        <f aca="false">L382-$C382</f>
        <v>29837.8</v>
      </c>
      <c r="N382" s="9" t="n">
        <f aca="false">N381+M382</f>
        <v>10853409.66</v>
      </c>
      <c r="O382" s="37" t="str">
        <f aca="false">IF(AND(N381&lt;0,N382&gt;=0,A382&lt;=MAX(120,Premissas!$B$15*12)),(A382-1)+(-N381)/M382,"")</f>
        <v/>
      </c>
      <c r="P382" s="9" t="n">
        <f aca="false">Resultados!$B$19*$B382-Resultados!$B$20*$B382-Premissas!$B$24-Resultados!$B$19*$B382*(Premissas!$B$14/100)</f>
        <v>24432.4</v>
      </c>
      <c r="Q382" s="9" t="n">
        <f aca="false">P382-$C382</f>
        <v>24432.4</v>
      </c>
      <c r="R382" s="9" t="n">
        <f aca="false">R381+Q382</f>
        <v>8828006.28000006</v>
      </c>
      <c r="S382" s="37" t="str">
        <f aca="false">IF(AND(R381&lt;0,R382&gt;=0,A382&lt;=MAX(120,Premissas!$B$15*12)),(A382-1)+(-R381)/Q382,"")</f>
        <v/>
      </c>
    </row>
    <row r="383" customFormat="false" ht="15" hidden="false" customHeight="false" outlineLevel="0" collapsed="false">
      <c r="A383" s="10" t="n">
        <f aca="false">A382+1</f>
        <v>379</v>
      </c>
      <c r="B383" s="36" t="n">
        <f aca="false">IF(Premissas!$B$9&lt;=1,1,MIN(1,Premissas!$B$8/100+(1-Premissas!$B$8/100)*(A383-1)/(Premissas!$B$9-1)))</f>
        <v>1</v>
      </c>
      <c r="C383" s="9" t="n">
        <f aca="false">IF(A383&lt;=Resultados!$B$9,Resultados!$B$10,0)</f>
        <v>0</v>
      </c>
      <c r="D383" s="9" t="n">
        <f aca="false">Resultados!$E$37*$B383-Resultados!$F$37*$B383-Premissas!$B$24-Resultados!$E$37*$B383*(Premissas!$B$14/100)</f>
        <v>19027</v>
      </c>
      <c r="E383" s="9" t="n">
        <f aca="false">D383-$C383</f>
        <v>19027</v>
      </c>
      <c r="F383" s="9" t="n">
        <f aca="false">F382+E383</f>
        <v>6821629.9</v>
      </c>
      <c r="G383" s="37" t="str">
        <f aca="false">IF(AND(F382&lt;0,F383&gt;=0,A383&lt;=MAX(120,Premissas!$B$15*12)),(A383-1)+(-F382)/E383,"")</f>
        <v/>
      </c>
      <c r="H383" s="9" t="n">
        <f aca="false">Resultados!$E$38*$B383-Resultados!$F$38*$B383-Premissas!$B$24-Resultados!$E$38*$B383*(Premissas!$B$14/100)</f>
        <v>24432.4</v>
      </c>
      <c r="I383" s="9" t="n">
        <f aca="false">H383-$C383</f>
        <v>24432.4</v>
      </c>
      <c r="J383" s="9" t="n">
        <f aca="false">J382+I383</f>
        <v>8852438.68000006</v>
      </c>
      <c r="K383" s="37" t="str">
        <f aca="false">IF(AND(J382&lt;0,J383&gt;=0,A383&lt;=MAX(120,Premissas!$B$15*12)),(A383-1)+(-J382)/I383,"")</f>
        <v/>
      </c>
      <c r="L383" s="9" t="n">
        <f aca="false">Resultados!$E$39*$B383-Resultados!$F$39*$B383-Premissas!$B$24-Resultados!$E$39*$B383*(Premissas!$B$14/100)</f>
        <v>29837.8</v>
      </c>
      <c r="M383" s="9" t="n">
        <f aca="false">L383-$C383</f>
        <v>29837.8</v>
      </c>
      <c r="N383" s="9" t="n">
        <f aca="false">N382+M383</f>
        <v>10883247.46</v>
      </c>
      <c r="O383" s="37" t="str">
        <f aca="false">IF(AND(N382&lt;0,N383&gt;=0,A383&lt;=MAX(120,Premissas!$B$15*12)),(A383-1)+(-N382)/M383,"")</f>
        <v/>
      </c>
      <c r="P383" s="9" t="n">
        <f aca="false">Resultados!$B$19*$B383-Resultados!$B$20*$B383-Premissas!$B$24-Resultados!$B$19*$B383*(Premissas!$B$14/100)</f>
        <v>24432.4</v>
      </c>
      <c r="Q383" s="9" t="n">
        <f aca="false">P383-$C383</f>
        <v>24432.4</v>
      </c>
      <c r="R383" s="9" t="n">
        <f aca="false">R382+Q383</f>
        <v>8852438.68000006</v>
      </c>
      <c r="S383" s="37" t="str">
        <f aca="false">IF(AND(R382&lt;0,R383&gt;=0,A383&lt;=MAX(120,Premissas!$B$15*12)),(A383-1)+(-R382)/Q383,"")</f>
        <v/>
      </c>
    </row>
    <row r="384" customFormat="false" ht="15" hidden="false" customHeight="false" outlineLevel="0" collapsed="false">
      <c r="A384" s="10" t="n">
        <f aca="false">A383+1</f>
        <v>380</v>
      </c>
      <c r="B384" s="36" t="n">
        <f aca="false">IF(Premissas!$B$9&lt;=1,1,MIN(1,Premissas!$B$8/100+(1-Premissas!$B$8/100)*(A384-1)/(Premissas!$B$9-1)))</f>
        <v>1</v>
      </c>
      <c r="C384" s="9" t="n">
        <f aca="false">IF(A384&lt;=Resultados!$B$9,Resultados!$B$10,0)</f>
        <v>0</v>
      </c>
      <c r="D384" s="9" t="n">
        <f aca="false">Resultados!$E$37*$B384-Resultados!$F$37*$B384-Premissas!$B$24-Resultados!$E$37*$B384*(Premissas!$B$14/100)</f>
        <v>19027</v>
      </c>
      <c r="E384" s="9" t="n">
        <f aca="false">D384-$C384</f>
        <v>19027</v>
      </c>
      <c r="F384" s="9" t="n">
        <f aca="false">F383+E384</f>
        <v>6840656.9</v>
      </c>
      <c r="G384" s="37" t="str">
        <f aca="false">IF(AND(F383&lt;0,F384&gt;=0,A384&lt;=MAX(120,Premissas!$B$15*12)),(A384-1)+(-F383)/E384,"")</f>
        <v/>
      </c>
      <c r="H384" s="9" t="n">
        <f aca="false">Resultados!$E$38*$B384-Resultados!$F$38*$B384-Premissas!$B$24-Resultados!$E$38*$B384*(Premissas!$B$14/100)</f>
        <v>24432.4</v>
      </c>
      <c r="I384" s="9" t="n">
        <f aca="false">H384-$C384</f>
        <v>24432.4</v>
      </c>
      <c r="J384" s="9" t="n">
        <f aca="false">J383+I384</f>
        <v>8876871.08000006</v>
      </c>
      <c r="K384" s="37" t="str">
        <f aca="false">IF(AND(J383&lt;0,J384&gt;=0,A384&lt;=MAX(120,Premissas!$B$15*12)),(A384-1)+(-J383)/I384,"")</f>
        <v/>
      </c>
      <c r="L384" s="9" t="n">
        <f aca="false">Resultados!$E$39*$B384-Resultados!$F$39*$B384-Premissas!$B$24-Resultados!$E$39*$B384*(Premissas!$B$14/100)</f>
        <v>29837.8</v>
      </c>
      <c r="M384" s="9" t="n">
        <f aca="false">L384-$C384</f>
        <v>29837.8</v>
      </c>
      <c r="N384" s="9" t="n">
        <f aca="false">N383+M384</f>
        <v>10913085.26</v>
      </c>
      <c r="O384" s="37" t="str">
        <f aca="false">IF(AND(N383&lt;0,N384&gt;=0,A384&lt;=MAX(120,Premissas!$B$15*12)),(A384-1)+(-N383)/M384,"")</f>
        <v/>
      </c>
      <c r="P384" s="9" t="n">
        <f aca="false">Resultados!$B$19*$B384-Resultados!$B$20*$B384-Premissas!$B$24-Resultados!$B$19*$B384*(Premissas!$B$14/100)</f>
        <v>24432.4</v>
      </c>
      <c r="Q384" s="9" t="n">
        <f aca="false">P384-$C384</f>
        <v>24432.4</v>
      </c>
      <c r="R384" s="9" t="n">
        <f aca="false">R383+Q384</f>
        <v>8876871.08000006</v>
      </c>
      <c r="S384" s="37" t="str">
        <f aca="false">IF(AND(R383&lt;0,R384&gt;=0,A384&lt;=MAX(120,Premissas!$B$15*12)),(A384-1)+(-R383)/Q384,"")</f>
        <v/>
      </c>
    </row>
    <row r="385" customFormat="false" ht="15" hidden="false" customHeight="false" outlineLevel="0" collapsed="false">
      <c r="A385" s="10" t="n">
        <f aca="false">A384+1</f>
        <v>381</v>
      </c>
      <c r="B385" s="36" t="n">
        <f aca="false">IF(Premissas!$B$9&lt;=1,1,MIN(1,Premissas!$B$8/100+(1-Premissas!$B$8/100)*(A385-1)/(Premissas!$B$9-1)))</f>
        <v>1</v>
      </c>
      <c r="C385" s="9" t="n">
        <f aca="false">IF(A385&lt;=Resultados!$B$9,Resultados!$B$10,0)</f>
        <v>0</v>
      </c>
      <c r="D385" s="9" t="n">
        <f aca="false">Resultados!$E$37*$B385-Resultados!$F$37*$B385-Premissas!$B$24-Resultados!$E$37*$B385*(Premissas!$B$14/100)</f>
        <v>19027</v>
      </c>
      <c r="E385" s="9" t="n">
        <f aca="false">D385-$C385</f>
        <v>19027</v>
      </c>
      <c r="F385" s="9" t="n">
        <f aca="false">F384+E385</f>
        <v>6859683.9</v>
      </c>
      <c r="G385" s="37" t="str">
        <f aca="false">IF(AND(F384&lt;0,F385&gt;=0,A385&lt;=MAX(120,Premissas!$B$15*12)),(A385-1)+(-F384)/E385,"")</f>
        <v/>
      </c>
      <c r="H385" s="9" t="n">
        <f aca="false">Resultados!$E$38*$B385-Resultados!$F$38*$B385-Premissas!$B$24-Resultados!$E$38*$B385*(Premissas!$B$14/100)</f>
        <v>24432.4</v>
      </c>
      <c r="I385" s="9" t="n">
        <f aca="false">H385-$C385</f>
        <v>24432.4</v>
      </c>
      <c r="J385" s="9" t="n">
        <f aca="false">J384+I385</f>
        <v>8901303.48000006</v>
      </c>
      <c r="K385" s="37" t="str">
        <f aca="false">IF(AND(J384&lt;0,J385&gt;=0,A385&lt;=MAX(120,Premissas!$B$15*12)),(A385-1)+(-J384)/I385,"")</f>
        <v/>
      </c>
      <c r="L385" s="9" t="n">
        <f aca="false">Resultados!$E$39*$B385-Resultados!$F$39*$B385-Premissas!$B$24-Resultados!$E$39*$B385*(Premissas!$B$14/100)</f>
        <v>29837.8</v>
      </c>
      <c r="M385" s="9" t="n">
        <f aca="false">L385-$C385</f>
        <v>29837.8</v>
      </c>
      <c r="N385" s="9" t="n">
        <f aca="false">N384+M385</f>
        <v>10942923.06</v>
      </c>
      <c r="O385" s="37" t="str">
        <f aca="false">IF(AND(N384&lt;0,N385&gt;=0,A385&lt;=MAX(120,Premissas!$B$15*12)),(A385-1)+(-N384)/M385,"")</f>
        <v/>
      </c>
      <c r="P385" s="9" t="n">
        <f aca="false">Resultados!$B$19*$B385-Resultados!$B$20*$B385-Premissas!$B$24-Resultados!$B$19*$B385*(Premissas!$B$14/100)</f>
        <v>24432.4</v>
      </c>
      <c r="Q385" s="9" t="n">
        <f aca="false">P385-$C385</f>
        <v>24432.4</v>
      </c>
      <c r="R385" s="9" t="n">
        <f aca="false">R384+Q385</f>
        <v>8901303.48000006</v>
      </c>
      <c r="S385" s="37" t="str">
        <f aca="false">IF(AND(R384&lt;0,R385&gt;=0,A385&lt;=MAX(120,Premissas!$B$15*12)),(A385-1)+(-R384)/Q385,"")</f>
        <v/>
      </c>
    </row>
    <row r="386" customFormat="false" ht="15" hidden="false" customHeight="false" outlineLevel="0" collapsed="false">
      <c r="A386" s="10" t="n">
        <f aca="false">A385+1</f>
        <v>382</v>
      </c>
      <c r="B386" s="36" t="n">
        <f aca="false">IF(Premissas!$B$9&lt;=1,1,MIN(1,Premissas!$B$8/100+(1-Premissas!$B$8/100)*(A386-1)/(Premissas!$B$9-1)))</f>
        <v>1</v>
      </c>
      <c r="C386" s="9" t="n">
        <f aca="false">IF(A386&lt;=Resultados!$B$9,Resultados!$B$10,0)</f>
        <v>0</v>
      </c>
      <c r="D386" s="9" t="n">
        <f aca="false">Resultados!$E$37*$B386-Resultados!$F$37*$B386-Premissas!$B$24-Resultados!$E$37*$B386*(Premissas!$B$14/100)</f>
        <v>19027</v>
      </c>
      <c r="E386" s="9" t="n">
        <f aca="false">D386-$C386</f>
        <v>19027</v>
      </c>
      <c r="F386" s="9" t="n">
        <f aca="false">F385+E386</f>
        <v>6878710.9</v>
      </c>
      <c r="G386" s="37" t="str">
        <f aca="false">IF(AND(F385&lt;0,F386&gt;=0,A386&lt;=MAX(120,Premissas!$B$15*12)),(A386-1)+(-F385)/E386,"")</f>
        <v/>
      </c>
      <c r="H386" s="9" t="n">
        <f aca="false">Resultados!$E$38*$B386-Resultados!$F$38*$B386-Premissas!$B$24-Resultados!$E$38*$B386*(Premissas!$B$14/100)</f>
        <v>24432.4</v>
      </c>
      <c r="I386" s="9" t="n">
        <f aca="false">H386-$C386</f>
        <v>24432.4</v>
      </c>
      <c r="J386" s="9" t="n">
        <f aca="false">J385+I386</f>
        <v>8925735.88000006</v>
      </c>
      <c r="K386" s="37" t="str">
        <f aca="false">IF(AND(J385&lt;0,J386&gt;=0,A386&lt;=MAX(120,Premissas!$B$15*12)),(A386-1)+(-J385)/I386,"")</f>
        <v/>
      </c>
      <c r="L386" s="9" t="n">
        <f aca="false">Resultados!$E$39*$B386-Resultados!$F$39*$B386-Premissas!$B$24-Resultados!$E$39*$B386*(Premissas!$B$14/100)</f>
        <v>29837.8</v>
      </c>
      <c r="M386" s="9" t="n">
        <f aca="false">L386-$C386</f>
        <v>29837.8</v>
      </c>
      <c r="N386" s="9" t="n">
        <f aca="false">N385+M386</f>
        <v>10972760.86</v>
      </c>
      <c r="O386" s="37" t="str">
        <f aca="false">IF(AND(N385&lt;0,N386&gt;=0,A386&lt;=MAX(120,Premissas!$B$15*12)),(A386-1)+(-N385)/M386,"")</f>
        <v/>
      </c>
      <c r="P386" s="9" t="n">
        <f aca="false">Resultados!$B$19*$B386-Resultados!$B$20*$B386-Premissas!$B$24-Resultados!$B$19*$B386*(Premissas!$B$14/100)</f>
        <v>24432.4</v>
      </c>
      <c r="Q386" s="9" t="n">
        <f aca="false">P386-$C386</f>
        <v>24432.4</v>
      </c>
      <c r="R386" s="9" t="n">
        <f aca="false">R385+Q386</f>
        <v>8925735.88000006</v>
      </c>
      <c r="S386" s="37" t="str">
        <f aca="false">IF(AND(R385&lt;0,R386&gt;=0,A386&lt;=MAX(120,Premissas!$B$15*12)),(A386-1)+(-R385)/Q386,"")</f>
        <v/>
      </c>
    </row>
    <row r="387" customFormat="false" ht="15" hidden="false" customHeight="false" outlineLevel="0" collapsed="false">
      <c r="A387" s="10" t="n">
        <f aca="false">A386+1</f>
        <v>383</v>
      </c>
      <c r="B387" s="36" t="n">
        <f aca="false">IF(Premissas!$B$9&lt;=1,1,MIN(1,Premissas!$B$8/100+(1-Premissas!$B$8/100)*(A387-1)/(Premissas!$B$9-1)))</f>
        <v>1</v>
      </c>
      <c r="C387" s="9" t="n">
        <f aca="false">IF(A387&lt;=Resultados!$B$9,Resultados!$B$10,0)</f>
        <v>0</v>
      </c>
      <c r="D387" s="9" t="n">
        <f aca="false">Resultados!$E$37*$B387-Resultados!$F$37*$B387-Premissas!$B$24-Resultados!$E$37*$B387*(Premissas!$B$14/100)</f>
        <v>19027</v>
      </c>
      <c r="E387" s="9" t="n">
        <f aca="false">D387-$C387</f>
        <v>19027</v>
      </c>
      <c r="F387" s="9" t="n">
        <f aca="false">F386+E387</f>
        <v>6897737.9</v>
      </c>
      <c r="G387" s="37" t="str">
        <f aca="false">IF(AND(F386&lt;0,F387&gt;=0,A387&lt;=MAX(120,Premissas!$B$15*12)),(A387-1)+(-F386)/E387,"")</f>
        <v/>
      </c>
      <c r="H387" s="9" t="n">
        <f aca="false">Resultados!$E$38*$B387-Resultados!$F$38*$B387-Premissas!$B$24-Resultados!$E$38*$B387*(Premissas!$B$14/100)</f>
        <v>24432.4</v>
      </c>
      <c r="I387" s="9" t="n">
        <f aca="false">H387-$C387</f>
        <v>24432.4</v>
      </c>
      <c r="J387" s="9" t="n">
        <f aca="false">J386+I387</f>
        <v>8950168.28000006</v>
      </c>
      <c r="K387" s="37" t="str">
        <f aca="false">IF(AND(J386&lt;0,J387&gt;=0,A387&lt;=MAX(120,Premissas!$B$15*12)),(A387-1)+(-J386)/I387,"")</f>
        <v/>
      </c>
      <c r="L387" s="9" t="n">
        <f aca="false">Resultados!$E$39*$B387-Resultados!$F$39*$B387-Premissas!$B$24-Resultados!$E$39*$B387*(Premissas!$B$14/100)</f>
        <v>29837.8</v>
      </c>
      <c r="M387" s="9" t="n">
        <f aca="false">L387-$C387</f>
        <v>29837.8</v>
      </c>
      <c r="N387" s="9" t="n">
        <f aca="false">N386+M387</f>
        <v>11002598.66</v>
      </c>
      <c r="O387" s="37" t="str">
        <f aca="false">IF(AND(N386&lt;0,N387&gt;=0,A387&lt;=MAX(120,Premissas!$B$15*12)),(A387-1)+(-N386)/M387,"")</f>
        <v/>
      </c>
      <c r="P387" s="9" t="n">
        <f aca="false">Resultados!$B$19*$B387-Resultados!$B$20*$B387-Premissas!$B$24-Resultados!$B$19*$B387*(Premissas!$B$14/100)</f>
        <v>24432.4</v>
      </c>
      <c r="Q387" s="9" t="n">
        <f aca="false">P387-$C387</f>
        <v>24432.4</v>
      </c>
      <c r="R387" s="9" t="n">
        <f aca="false">R386+Q387</f>
        <v>8950168.28000006</v>
      </c>
      <c r="S387" s="37" t="str">
        <f aca="false">IF(AND(R386&lt;0,R387&gt;=0,A387&lt;=MAX(120,Premissas!$B$15*12)),(A387-1)+(-R386)/Q387,"")</f>
        <v/>
      </c>
    </row>
    <row r="388" customFormat="false" ht="15" hidden="false" customHeight="false" outlineLevel="0" collapsed="false">
      <c r="A388" s="10" t="n">
        <f aca="false">A387+1</f>
        <v>384</v>
      </c>
      <c r="B388" s="36" t="n">
        <f aca="false">IF(Premissas!$B$9&lt;=1,1,MIN(1,Premissas!$B$8/100+(1-Premissas!$B$8/100)*(A388-1)/(Premissas!$B$9-1)))</f>
        <v>1</v>
      </c>
      <c r="C388" s="9" t="n">
        <f aca="false">IF(A388&lt;=Resultados!$B$9,Resultados!$B$10,0)</f>
        <v>0</v>
      </c>
      <c r="D388" s="9" t="n">
        <f aca="false">Resultados!$E$37*$B388-Resultados!$F$37*$B388-Premissas!$B$24-Resultados!$E$37*$B388*(Premissas!$B$14/100)</f>
        <v>19027</v>
      </c>
      <c r="E388" s="9" t="n">
        <f aca="false">D388-$C388</f>
        <v>19027</v>
      </c>
      <c r="F388" s="9" t="n">
        <f aca="false">F387+E388</f>
        <v>6916764.9</v>
      </c>
      <c r="G388" s="37" t="str">
        <f aca="false">IF(AND(F387&lt;0,F388&gt;=0,A388&lt;=MAX(120,Premissas!$B$15*12)),(A388-1)+(-F387)/E388,"")</f>
        <v/>
      </c>
      <c r="H388" s="9" t="n">
        <f aca="false">Resultados!$E$38*$B388-Resultados!$F$38*$B388-Premissas!$B$24-Resultados!$E$38*$B388*(Premissas!$B$14/100)</f>
        <v>24432.4</v>
      </c>
      <c r="I388" s="9" t="n">
        <f aca="false">H388-$C388</f>
        <v>24432.4</v>
      </c>
      <c r="J388" s="9" t="n">
        <f aca="false">J387+I388</f>
        <v>8974600.68000006</v>
      </c>
      <c r="K388" s="37" t="str">
        <f aca="false">IF(AND(J387&lt;0,J388&gt;=0,A388&lt;=MAX(120,Premissas!$B$15*12)),(A388-1)+(-J387)/I388,"")</f>
        <v/>
      </c>
      <c r="L388" s="9" t="n">
        <f aca="false">Resultados!$E$39*$B388-Resultados!$F$39*$B388-Premissas!$B$24-Resultados!$E$39*$B388*(Premissas!$B$14/100)</f>
        <v>29837.8</v>
      </c>
      <c r="M388" s="9" t="n">
        <f aca="false">L388-$C388</f>
        <v>29837.8</v>
      </c>
      <c r="N388" s="9" t="n">
        <f aca="false">N387+M388</f>
        <v>11032436.46</v>
      </c>
      <c r="O388" s="37" t="str">
        <f aca="false">IF(AND(N387&lt;0,N388&gt;=0,A388&lt;=MAX(120,Premissas!$B$15*12)),(A388-1)+(-N387)/M388,"")</f>
        <v/>
      </c>
      <c r="P388" s="9" t="n">
        <f aca="false">Resultados!$B$19*$B388-Resultados!$B$20*$B388-Premissas!$B$24-Resultados!$B$19*$B388*(Premissas!$B$14/100)</f>
        <v>24432.4</v>
      </c>
      <c r="Q388" s="9" t="n">
        <f aca="false">P388-$C388</f>
        <v>24432.4</v>
      </c>
      <c r="R388" s="9" t="n">
        <f aca="false">R387+Q388</f>
        <v>8974600.68000006</v>
      </c>
      <c r="S388" s="37" t="str">
        <f aca="false">IF(AND(R387&lt;0,R388&gt;=0,A388&lt;=MAX(120,Premissas!$B$15*12)),(A388-1)+(-R387)/Q388,"")</f>
        <v/>
      </c>
    </row>
    <row r="389" customFormat="false" ht="15" hidden="false" customHeight="false" outlineLevel="0" collapsed="false">
      <c r="A389" s="10" t="n">
        <f aca="false">A388+1</f>
        <v>385</v>
      </c>
      <c r="B389" s="36" t="n">
        <f aca="false">IF(Premissas!$B$9&lt;=1,1,MIN(1,Premissas!$B$8/100+(1-Premissas!$B$8/100)*(A389-1)/(Premissas!$B$9-1)))</f>
        <v>1</v>
      </c>
      <c r="C389" s="9" t="n">
        <f aca="false">IF(A389&lt;=Resultados!$B$9,Resultados!$B$10,0)</f>
        <v>0</v>
      </c>
      <c r="D389" s="9" t="n">
        <f aca="false">Resultados!$E$37*$B389-Resultados!$F$37*$B389-Premissas!$B$24-Resultados!$E$37*$B389*(Premissas!$B$14/100)</f>
        <v>19027</v>
      </c>
      <c r="E389" s="9" t="n">
        <f aca="false">D389-$C389</f>
        <v>19027</v>
      </c>
      <c r="F389" s="9" t="n">
        <f aca="false">F388+E389</f>
        <v>6935791.9</v>
      </c>
      <c r="G389" s="37" t="str">
        <f aca="false">IF(AND(F388&lt;0,F389&gt;=0,A389&lt;=MAX(120,Premissas!$B$15*12)),(A389-1)+(-F388)/E389,"")</f>
        <v/>
      </c>
      <c r="H389" s="9" t="n">
        <f aca="false">Resultados!$E$38*$B389-Resultados!$F$38*$B389-Premissas!$B$24-Resultados!$E$38*$B389*(Premissas!$B$14/100)</f>
        <v>24432.4</v>
      </c>
      <c r="I389" s="9" t="n">
        <f aca="false">H389-$C389</f>
        <v>24432.4</v>
      </c>
      <c r="J389" s="9" t="n">
        <f aca="false">J388+I389</f>
        <v>8999033.08000006</v>
      </c>
      <c r="K389" s="37" t="str">
        <f aca="false">IF(AND(J388&lt;0,J389&gt;=0,A389&lt;=MAX(120,Premissas!$B$15*12)),(A389-1)+(-J388)/I389,"")</f>
        <v/>
      </c>
      <c r="L389" s="9" t="n">
        <f aca="false">Resultados!$E$39*$B389-Resultados!$F$39*$B389-Premissas!$B$24-Resultados!$E$39*$B389*(Premissas!$B$14/100)</f>
        <v>29837.8</v>
      </c>
      <c r="M389" s="9" t="n">
        <f aca="false">L389-$C389</f>
        <v>29837.8</v>
      </c>
      <c r="N389" s="9" t="n">
        <f aca="false">N388+M389</f>
        <v>11062274.26</v>
      </c>
      <c r="O389" s="37" t="str">
        <f aca="false">IF(AND(N388&lt;0,N389&gt;=0,A389&lt;=MAX(120,Premissas!$B$15*12)),(A389-1)+(-N388)/M389,"")</f>
        <v/>
      </c>
      <c r="P389" s="9" t="n">
        <f aca="false">Resultados!$B$19*$B389-Resultados!$B$20*$B389-Premissas!$B$24-Resultados!$B$19*$B389*(Premissas!$B$14/100)</f>
        <v>24432.4</v>
      </c>
      <c r="Q389" s="9" t="n">
        <f aca="false">P389-$C389</f>
        <v>24432.4</v>
      </c>
      <c r="R389" s="9" t="n">
        <f aca="false">R388+Q389</f>
        <v>8999033.08000006</v>
      </c>
      <c r="S389" s="37" t="str">
        <f aca="false">IF(AND(R388&lt;0,R389&gt;=0,A389&lt;=MAX(120,Premissas!$B$15*12)),(A389-1)+(-R388)/Q389,"")</f>
        <v/>
      </c>
    </row>
    <row r="390" customFormat="false" ht="15" hidden="false" customHeight="false" outlineLevel="0" collapsed="false">
      <c r="A390" s="10" t="n">
        <f aca="false">A389+1</f>
        <v>386</v>
      </c>
      <c r="B390" s="36" t="n">
        <f aca="false">IF(Premissas!$B$9&lt;=1,1,MIN(1,Premissas!$B$8/100+(1-Premissas!$B$8/100)*(A390-1)/(Premissas!$B$9-1)))</f>
        <v>1</v>
      </c>
      <c r="C390" s="9" t="n">
        <f aca="false">IF(A390&lt;=Resultados!$B$9,Resultados!$B$10,0)</f>
        <v>0</v>
      </c>
      <c r="D390" s="9" t="n">
        <f aca="false">Resultados!$E$37*$B390-Resultados!$F$37*$B390-Premissas!$B$24-Resultados!$E$37*$B390*(Premissas!$B$14/100)</f>
        <v>19027</v>
      </c>
      <c r="E390" s="9" t="n">
        <f aca="false">D390-$C390</f>
        <v>19027</v>
      </c>
      <c r="F390" s="9" t="n">
        <f aca="false">F389+E390</f>
        <v>6954818.9</v>
      </c>
      <c r="G390" s="37" t="str">
        <f aca="false">IF(AND(F389&lt;0,F390&gt;=0,A390&lt;=MAX(120,Premissas!$B$15*12)),(A390-1)+(-F389)/E390,"")</f>
        <v/>
      </c>
      <c r="H390" s="9" t="n">
        <f aca="false">Resultados!$E$38*$B390-Resultados!$F$38*$B390-Premissas!$B$24-Resultados!$E$38*$B390*(Premissas!$B$14/100)</f>
        <v>24432.4</v>
      </c>
      <c r="I390" s="9" t="n">
        <f aca="false">H390-$C390</f>
        <v>24432.4</v>
      </c>
      <c r="J390" s="9" t="n">
        <f aca="false">J389+I390</f>
        <v>9023465.48000006</v>
      </c>
      <c r="K390" s="37" t="str">
        <f aca="false">IF(AND(J389&lt;0,J390&gt;=0,A390&lt;=MAX(120,Premissas!$B$15*12)),(A390-1)+(-J389)/I390,"")</f>
        <v/>
      </c>
      <c r="L390" s="9" t="n">
        <f aca="false">Resultados!$E$39*$B390-Resultados!$F$39*$B390-Premissas!$B$24-Resultados!$E$39*$B390*(Premissas!$B$14/100)</f>
        <v>29837.8</v>
      </c>
      <c r="M390" s="9" t="n">
        <f aca="false">L390-$C390</f>
        <v>29837.8</v>
      </c>
      <c r="N390" s="9" t="n">
        <f aca="false">N389+M390</f>
        <v>11092112.06</v>
      </c>
      <c r="O390" s="37" t="str">
        <f aca="false">IF(AND(N389&lt;0,N390&gt;=0,A390&lt;=MAX(120,Premissas!$B$15*12)),(A390-1)+(-N389)/M390,"")</f>
        <v/>
      </c>
      <c r="P390" s="9" t="n">
        <f aca="false">Resultados!$B$19*$B390-Resultados!$B$20*$B390-Premissas!$B$24-Resultados!$B$19*$B390*(Premissas!$B$14/100)</f>
        <v>24432.4</v>
      </c>
      <c r="Q390" s="9" t="n">
        <f aca="false">P390-$C390</f>
        <v>24432.4</v>
      </c>
      <c r="R390" s="9" t="n">
        <f aca="false">R389+Q390</f>
        <v>9023465.48000006</v>
      </c>
      <c r="S390" s="37" t="str">
        <f aca="false">IF(AND(R389&lt;0,R390&gt;=0,A390&lt;=MAX(120,Premissas!$B$15*12)),(A390-1)+(-R389)/Q390,"")</f>
        <v/>
      </c>
    </row>
    <row r="391" customFormat="false" ht="15" hidden="false" customHeight="false" outlineLevel="0" collapsed="false">
      <c r="A391" s="10" t="n">
        <f aca="false">A390+1</f>
        <v>387</v>
      </c>
      <c r="B391" s="36" t="n">
        <f aca="false">IF(Premissas!$B$9&lt;=1,1,MIN(1,Premissas!$B$8/100+(1-Premissas!$B$8/100)*(A391-1)/(Premissas!$B$9-1)))</f>
        <v>1</v>
      </c>
      <c r="C391" s="9" t="n">
        <f aca="false">IF(A391&lt;=Resultados!$B$9,Resultados!$B$10,0)</f>
        <v>0</v>
      </c>
      <c r="D391" s="9" t="n">
        <f aca="false">Resultados!$E$37*$B391-Resultados!$F$37*$B391-Premissas!$B$24-Resultados!$E$37*$B391*(Premissas!$B$14/100)</f>
        <v>19027</v>
      </c>
      <c r="E391" s="9" t="n">
        <f aca="false">D391-$C391</f>
        <v>19027</v>
      </c>
      <c r="F391" s="9" t="n">
        <f aca="false">F390+E391</f>
        <v>6973845.9</v>
      </c>
      <c r="G391" s="37" t="str">
        <f aca="false">IF(AND(F390&lt;0,F391&gt;=0,A391&lt;=MAX(120,Premissas!$B$15*12)),(A391-1)+(-F390)/E391,"")</f>
        <v/>
      </c>
      <c r="H391" s="9" t="n">
        <f aca="false">Resultados!$E$38*$B391-Resultados!$F$38*$B391-Premissas!$B$24-Resultados!$E$38*$B391*(Premissas!$B$14/100)</f>
        <v>24432.4</v>
      </c>
      <c r="I391" s="9" t="n">
        <f aca="false">H391-$C391</f>
        <v>24432.4</v>
      </c>
      <c r="J391" s="9" t="n">
        <f aca="false">J390+I391</f>
        <v>9047897.88000006</v>
      </c>
      <c r="K391" s="37" t="str">
        <f aca="false">IF(AND(J390&lt;0,J391&gt;=0,A391&lt;=MAX(120,Premissas!$B$15*12)),(A391-1)+(-J390)/I391,"")</f>
        <v/>
      </c>
      <c r="L391" s="9" t="n">
        <f aca="false">Resultados!$E$39*$B391-Resultados!$F$39*$B391-Premissas!$B$24-Resultados!$E$39*$B391*(Premissas!$B$14/100)</f>
        <v>29837.8</v>
      </c>
      <c r="M391" s="9" t="n">
        <f aca="false">L391-$C391</f>
        <v>29837.8</v>
      </c>
      <c r="N391" s="9" t="n">
        <f aca="false">N390+M391</f>
        <v>11121949.86</v>
      </c>
      <c r="O391" s="37" t="str">
        <f aca="false">IF(AND(N390&lt;0,N391&gt;=0,A391&lt;=MAX(120,Premissas!$B$15*12)),(A391-1)+(-N390)/M391,"")</f>
        <v/>
      </c>
      <c r="P391" s="9" t="n">
        <f aca="false">Resultados!$B$19*$B391-Resultados!$B$20*$B391-Premissas!$B$24-Resultados!$B$19*$B391*(Premissas!$B$14/100)</f>
        <v>24432.4</v>
      </c>
      <c r="Q391" s="9" t="n">
        <f aca="false">P391-$C391</f>
        <v>24432.4</v>
      </c>
      <c r="R391" s="9" t="n">
        <f aca="false">R390+Q391</f>
        <v>9047897.88000006</v>
      </c>
      <c r="S391" s="37" t="str">
        <f aca="false">IF(AND(R390&lt;0,R391&gt;=0,A391&lt;=MAX(120,Premissas!$B$15*12)),(A391-1)+(-R390)/Q391,"")</f>
        <v/>
      </c>
    </row>
    <row r="392" customFormat="false" ht="15" hidden="false" customHeight="false" outlineLevel="0" collapsed="false">
      <c r="A392" s="10" t="n">
        <f aca="false">A391+1</f>
        <v>388</v>
      </c>
      <c r="B392" s="36" t="n">
        <f aca="false">IF(Premissas!$B$9&lt;=1,1,MIN(1,Premissas!$B$8/100+(1-Premissas!$B$8/100)*(A392-1)/(Premissas!$B$9-1)))</f>
        <v>1</v>
      </c>
      <c r="C392" s="9" t="n">
        <f aca="false">IF(A392&lt;=Resultados!$B$9,Resultados!$B$10,0)</f>
        <v>0</v>
      </c>
      <c r="D392" s="9" t="n">
        <f aca="false">Resultados!$E$37*$B392-Resultados!$F$37*$B392-Premissas!$B$24-Resultados!$E$37*$B392*(Premissas!$B$14/100)</f>
        <v>19027</v>
      </c>
      <c r="E392" s="9" t="n">
        <f aca="false">D392-$C392</f>
        <v>19027</v>
      </c>
      <c r="F392" s="9" t="n">
        <f aca="false">F391+E392</f>
        <v>6992872.9</v>
      </c>
      <c r="G392" s="37" t="str">
        <f aca="false">IF(AND(F391&lt;0,F392&gt;=0,A392&lt;=MAX(120,Premissas!$B$15*12)),(A392-1)+(-F391)/E392,"")</f>
        <v/>
      </c>
      <c r="H392" s="9" t="n">
        <f aca="false">Resultados!$E$38*$B392-Resultados!$F$38*$B392-Premissas!$B$24-Resultados!$E$38*$B392*(Premissas!$B$14/100)</f>
        <v>24432.4</v>
      </c>
      <c r="I392" s="9" t="n">
        <f aca="false">H392-$C392</f>
        <v>24432.4</v>
      </c>
      <c r="J392" s="9" t="n">
        <f aca="false">J391+I392</f>
        <v>9072330.28000006</v>
      </c>
      <c r="K392" s="37" t="str">
        <f aca="false">IF(AND(J391&lt;0,J392&gt;=0,A392&lt;=MAX(120,Premissas!$B$15*12)),(A392-1)+(-J391)/I392,"")</f>
        <v/>
      </c>
      <c r="L392" s="9" t="n">
        <f aca="false">Resultados!$E$39*$B392-Resultados!$F$39*$B392-Premissas!$B$24-Resultados!$E$39*$B392*(Premissas!$B$14/100)</f>
        <v>29837.8</v>
      </c>
      <c r="M392" s="9" t="n">
        <f aca="false">L392-$C392</f>
        <v>29837.8</v>
      </c>
      <c r="N392" s="9" t="n">
        <f aca="false">N391+M392</f>
        <v>11151787.66</v>
      </c>
      <c r="O392" s="37" t="str">
        <f aca="false">IF(AND(N391&lt;0,N392&gt;=0,A392&lt;=MAX(120,Premissas!$B$15*12)),(A392-1)+(-N391)/M392,"")</f>
        <v/>
      </c>
      <c r="P392" s="9" t="n">
        <f aca="false">Resultados!$B$19*$B392-Resultados!$B$20*$B392-Premissas!$B$24-Resultados!$B$19*$B392*(Premissas!$B$14/100)</f>
        <v>24432.4</v>
      </c>
      <c r="Q392" s="9" t="n">
        <f aca="false">P392-$C392</f>
        <v>24432.4</v>
      </c>
      <c r="R392" s="9" t="n">
        <f aca="false">R391+Q392</f>
        <v>9072330.28000006</v>
      </c>
      <c r="S392" s="37" t="str">
        <f aca="false">IF(AND(R391&lt;0,R392&gt;=0,A392&lt;=MAX(120,Premissas!$B$15*12)),(A392-1)+(-R391)/Q392,"")</f>
        <v/>
      </c>
    </row>
    <row r="393" customFormat="false" ht="15" hidden="false" customHeight="false" outlineLevel="0" collapsed="false">
      <c r="A393" s="10" t="n">
        <f aca="false">A392+1</f>
        <v>389</v>
      </c>
      <c r="B393" s="36" t="n">
        <f aca="false">IF(Premissas!$B$9&lt;=1,1,MIN(1,Premissas!$B$8/100+(1-Premissas!$B$8/100)*(A393-1)/(Premissas!$B$9-1)))</f>
        <v>1</v>
      </c>
      <c r="C393" s="9" t="n">
        <f aca="false">IF(A393&lt;=Resultados!$B$9,Resultados!$B$10,0)</f>
        <v>0</v>
      </c>
      <c r="D393" s="9" t="n">
        <f aca="false">Resultados!$E$37*$B393-Resultados!$F$37*$B393-Premissas!$B$24-Resultados!$E$37*$B393*(Premissas!$B$14/100)</f>
        <v>19027</v>
      </c>
      <c r="E393" s="9" t="n">
        <f aca="false">D393-$C393</f>
        <v>19027</v>
      </c>
      <c r="F393" s="9" t="n">
        <f aca="false">F392+E393</f>
        <v>7011899.9</v>
      </c>
      <c r="G393" s="37" t="str">
        <f aca="false">IF(AND(F392&lt;0,F393&gt;=0,A393&lt;=MAX(120,Premissas!$B$15*12)),(A393-1)+(-F392)/E393,"")</f>
        <v/>
      </c>
      <c r="H393" s="9" t="n">
        <f aca="false">Resultados!$E$38*$B393-Resultados!$F$38*$B393-Premissas!$B$24-Resultados!$E$38*$B393*(Premissas!$B$14/100)</f>
        <v>24432.4</v>
      </c>
      <c r="I393" s="9" t="n">
        <f aca="false">H393-$C393</f>
        <v>24432.4</v>
      </c>
      <c r="J393" s="9" t="n">
        <f aca="false">J392+I393</f>
        <v>9096762.68000006</v>
      </c>
      <c r="K393" s="37" t="str">
        <f aca="false">IF(AND(J392&lt;0,J393&gt;=0,A393&lt;=MAX(120,Premissas!$B$15*12)),(A393-1)+(-J392)/I393,"")</f>
        <v/>
      </c>
      <c r="L393" s="9" t="n">
        <f aca="false">Resultados!$E$39*$B393-Resultados!$F$39*$B393-Premissas!$B$24-Resultados!$E$39*$B393*(Premissas!$B$14/100)</f>
        <v>29837.8</v>
      </c>
      <c r="M393" s="9" t="n">
        <f aca="false">L393-$C393</f>
        <v>29837.8</v>
      </c>
      <c r="N393" s="9" t="n">
        <f aca="false">N392+M393</f>
        <v>11181625.46</v>
      </c>
      <c r="O393" s="37" t="str">
        <f aca="false">IF(AND(N392&lt;0,N393&gt;=0,A393&lt;=MAX(120,Premissas!$B$15*12)),(A393-1)+(-N392)/M393,"")</f>
        <v/>
      </c>
      <c r="P393" s="9" t="n">
        <f aca="false">Resultados!$B$19*$B393-Resultados!$B$20*$B393-Premissas!$B$24-Resultados!$B$19*$B393*(Premissas!$B$14/100)</f>
        <v>24432.4</v>
      </c>
      <c r="Q393" s="9" t="n">
        <f aca="false">P393-$C393</f>
        <v>24432.4</v>
      </c>
      <c r="R393" s="9" t="n">
        <f aca="false">R392+Q393</f>
        <v>9096762.68000006</v>
      </c>
      <c r="S393" s="37" t="str">
        <f aca="false">IF(AND(R392&lt;0,R393&gt;=0,A393&lt;=MAX(120,Premissas!$B$15*12)),(A393-1)+(-R392)/Q393,"")</f>
        <v/>
      </c>
    </row>
    <row r="394" customFormat="false" ht="15" hidden="false" customHeight="false" outlineLevel="0" collapsed="false">
      <c r="A394" s="10" t="n">
        <f aca="false">A393+1</f>
        <v>390</v>
      </c>
      <c r="B394" s="36" t="n">
        <f aca="false">IF(Premissas!$B$9&lt;=1,1,MIN(1,Premissas!$B$8/100+(1-Premissas!$B$8/100)*(A394-1)/(Premissas!$B$9-1)))</f>
        <v>1</v>
      </c>
      <c r="C394" s="9" t="n">
        <f aca="false">IF(A394&lt;=Resultados!$B$9,Resultados!$B$10,0)</f>
        <v>0</v>
      </c>
      <c r="D394" s="9" t="n">
        <f aca="false">Resultados!$E$37*$B394-Resultados!$F$37*$B394-Premissas!$B$24-Resultados!$E$37*$B394*(Premissas!$B$14/100)</f>
        <v>19027</v>
      </c>
      <c r="E394" s="9" t="n">
        <f aca="false">D394-$C394</f>
        <v>19027</v>
      </c>
      <c r="F394" s="9" t="n">
        <f aca="false">F393+E394</f>
        <v>7030926.9</v>
      </c>
      <c r="G394" s="37" t="str">
        <f aca="false">IF(AND(F393&lt;0,F394&gt;=0,A394&lt;=MAX(120,Premissas!$B$15*12)),(A394-1)+(-F393)/E394,"")</f>
        <v/>
      </c>
      <c r="H394" s="9" t="n">
        <f aca="false">Resultados!$E$38*$B394-Resultados!$F$38*$B394-Premissas!$B$24-Resultados!$E$38*$B394*(Premissas!$B$14/100)</f>
        <v>24432.4</v>
      </c>
      <c r="I394" s="9" t="n">
        <f aca="false">H394-$C394</f>
        <v>24432.4</v>
      </c>
      <c r="J394" s="9" t="n">
        <f aca="false">J393+I394</f>
        <v>9121195.08000006</v>
      </c>
      <c r="K394" s="37" t="str">
        <f aca="false">IF(AND(J393&lt;0,J394&gt;=0,A394&lt;=MAX(120,Premissas!$B$15*12)),(A394-1)+(-J393)/I394,"")</f>
        <v/>
      </c>
      <c r="L394" s="9" t="n">
        <f aca="false">Resultados!$E$39*$B394-Resultados!$F$39*$B394-Premissas!$B$24-Resultados!$E$39*$B394*(Premissas!$B$14/100)</f>
        <v>29837.8</v>
      </c>
      <c r="M394" s="9" t="n">
        <f aca="false">L394-$C394</f>
        <v>29837.8</v>
      </c>
      <c r="N394" s="9" t="n">
        <f aca="false">N393+M394</f>
        <v>11211463.26</v>
      </c>
      <c r="O394" s="37" t="str">
        <f aca="false">IF(AND(N393&lt;0,N394&gt;=0,A394&lt;=MAX(120,Premissas!$B$15*12)),(A394-1)+(-N393)/M394,"")</f>
        <v/>
      </c>
      <c r="P394" s="9" t="n">
        <f aca="false">Resultados!$B$19*$B394-Resultados!$B$20*$B394-Premissas!$B$24-Resultados!$B$19*$B394*(Premissas!$B$14/100)</f>
        <v>24432.4</v>
      </c>
      <c r="Q394" s="9" t="n">
        <f aca="false">P394-$C394</f>
        <v>24432.4</v>
      </c>
      <c r="R394" s="9" t="n">
        <f aca="false">R393+Q394</f>
        <v>9121195.08000006</v>
      </c>
      <c r="S394" s="37" t="str">
        <f aca="false">IF(AND(R393&lt;0,R394&gt;=0,A394&lt;=MAX(120,Premissas!$B$15*12)),(A394-1)+(-R393)/Q394,"")</f>
        <v/>
      </c>
    </row>
    <row r="395" customFormat="false" ht="15" hidden="false" customHeight="false" outlineLevel="0" collapsed="false">
      <c r="A395" s="10" t="n">
        <f aca="false">A394+1</f>
        <v>391</v>
      </c>
      <c r="B395" s="36" t="n">
        <f aca="false">IF(Premissas!$B$9&lt;=1,1,MIN(1,Premissas!$B$8/100+(1-Premissas!$B$8/100)*(A395-1)/(Premissas!$B$9-1)))</f>
        <v>1</v>
      </c>
      <c r="C395" s="9" t="n">
        <f aca="false">IF(A395&lt;=Resultados!$B$9,Resultados!$B$10,0)</f>
        <v>0</v>
      </c>
      <c r="D395" s="9" t="n">
        <f aca="false">Resultados!$E$37*$B395-Resultados!$F$37*$B395-Premissas!$B$24-Resultados!$E$37*$B395*(Premissas!$B$14/100)</f>
        <v>19027</v>
      </c>
      <c r="E395" s="9" t="n">
        <f aca="false">D395-$C395</f>
        <v>19027</v>
      </c>
      <c r="F395" s="9" t="n">
        <f aca="false">F394+E395</f>
        <v>7049953.9</v>
      </c>
      <c r="G395" s="37" t="str">
        <f aca="false">IF(AND(F394&lt;0,F395&gt;=0,A395&lt;=MAX(120,Premissas!$B$15*12)),(A395-1)+(-F394)/E395,"")</f>
        <v/>
      </c>
      <c r="H395" s="9" t="n">
        <f aca="false">Resultados!$E$38*$B395-Resultados!$F$38*$B395-Premissas!$B$24-Resultados!$E$38*$B395*(Premissas!$B$14/100)</f>
        <v>24432.4</v>
      </c>
      <c r="I395" s="9" t="n">
        <f aca="false">H395-$C395</f>
        <v>24432.4</v>
      </c>
      <c r="J395" s="9" t="n">
        <f aca="false">J394+I395</f>
        <v>9145627.48000006</v>
      </c>
      <c r="K395" s="37" t="str">
        <f aca="false">IF(AND(J394&lt;0,J395&gt;=0,A395&lt;=MAX(120,Premissas!$B$15*12)),(A395-1)+(-J394)/I395,"")</f>
        <v/>
      </c>
      <c r="L395" s="9" t="n">
        <f aca="false">Resultados!$E$39*$B395-Resultados!$F$39*$B395-Premissas!$B$24-Resultados!$E$39*$B395*(Premissas!$B$14/100)</f>
        <v>29837.8</v>
      </c>
      <c r="M395" s="9" t="n">
        <f aca="false">L395-$C395</f>
        <v>29837.8</v>
      </c>
      <c r="N395" s="9" t="n">
        <f aca="false">N394+M395</f>
        <v>11241301.06</v>
      </c>
      <c r="O395" s="37" t="str">
        <f aca="false">IF(AND(N394&lt;0,N395&gt;=0,A395&lt;=MAX(120,Premissas!$B$15*12)),(A395-1)+(-N394)/M395,"")</f>
        <v/>
      </c>
      <c r="P395" s="9" t="n">
        <f aca="false">Resultados!$B$19*$B395-Resultados!$B$20*$B395-Premissas!$B$24-Resultados!$B$19*$B395*(Premissas!$B$14/100)</f>
        <v>24432.4</v>
      </c>
      <c r="Q395" s="9" t="n">
        <f aca="false">P395-$C395</f>
        <v>24432.4</v>
      </c>
      <c r="R395" s="9" t="n">
        <f aca="false">R394+Q395</f>
        <v>9145627.48000006</v>
      </c>
      <c r="S395" s="37" t="str">
        <f aca="false">IF(AND(R394&lt;0,R395&gt;=0,A395&lt;=MAX(120,Premissas!$B$15*12)),(A395-1)+(-R394)/Q395,"")</f>
        <v/>
      </c>
    </row>
    <row r="396" customFormat="false" ht="15" hidden="false" customHeight="false" outlineLevel="0" collapsed="false">
      <c r="A396" s="10" t="n">
        <f aca="false">A395+1</f>
        <v>392</v>
      </c>
      <c r="B396" s="36" t="n">
        <f aca="false">IF(Premissas!$B$9&lt;=1,1,MIN(1,Premissas!$B$8/100+(1-Premissas!$B$8/100)*(A396-1)/(Premissas!$B$9-1)))</f>
        <v>1</v>
      </c>
      <c r="C396" s="9" t="n">
        <f aca="false">IF(A396&lt;=Resultados!$B$9,Resultados!$B$10,0)</f>
        <v>0</v>
      </c>
      <c r="D396" s="9" t="n">
        <f aca="false">Resultados!$E$37*$B396-Resultados!$F$37*$B396-Premissas!$B$24-Resultados!$E$37*$B396*(Premissas!$B$14/100)</f>
        <v>19027</v>
      </c>
      <c r="E396" s="9" t="n">
        <f aca="false">D396-$C396</f>
        <v>19027</v>
      </c>
      <c r="F396" s="9" t="n">
        <f aca="false">F395+E396</f>
        <v>7068980.9</v>
      </c>
      <c r="G396" s="37" t="str">
        <f aca="false">IF(AND(F395&lt;0,F396&gt;=0,A396&lt;=MAX(120,Premissas!$B$15*12)),(A396-1)+(-F395)/E396,"")</f>
        <v/>
      </c>
      <c r="H396" s="9" t="n">
        <f aca="false">Resultados!$E$38*$B396-Resultados!$F$38*$B396-Premissas!$B$24-Resultados!$E$38*$B396*(Premissas!$B$14/100)</f>
        <v>24432.4</v>
      </c>
      <c r="I396" s="9" t="n">
        <f aca="false">H396-$C396</f>
        <v>24432.4</v>
      </c>
      <c r="J396" s="9" t="n">
        <f aca="false">J395+I396</f>
        <v>9170059.88000006</v>
      </c>
      <c r="K396" s="37" t="str">
        <f aca="false">IF(AND(J395&lt;0,J396&gt;=0,A396&lt;=MAX(120,Premissas!$B$15*12)),(A396-1)+(-J395)/I396,"")</f>
        <v/>
      </c>
      <c r="L396" s="9" t="n">
        <f aca="false">Resultados!$E$39*$B396-Resultados!$F$39*$B396-Premissas!$B$24-Resultados!$E$39*$B396*(Premissas!$B$14/100)</f>
        <v>29837.8</v>
      </c>
      <c r="M396" s="9" t="n">
        <f aca="false">L396-$C396</f>
        <v>29837.8</v>
      </c>
      <c r="N396" s="9" t="n">
        <f aca="false">N395+M396</f>
        <v>11271138.86</v>
      </c>
      <c r="O396" s="37" t="str">
        <f aca="false">IF(AND(N395&lt;0,N396&gt;=0,A396&lt;=MAX(120,Premissas!$B$15*12)),(A396-1)+(-N395)/M396,"")</f>
        <v/>
      </c>
      <c r="P396" s="9" t="n">
        <f aca="false">Resultados!$B$19*$B396-Resultados!$B$20*$B396-Premissas!$B$24-Resultados!$B$19*$B396*(Premissas!$B$14/100)</f>
        <v>24432.4</v>
      </c>
      <c r="Q396" s="9" t="n">
        <f aca="false">P396-$C396</f>
        <v>24432.4</v>
      </c>
      <c r="R396" s="9" t="n">
        <f aca="false">R395+Q396</f>
        <v>9170059.88000006</v>
      </c>
      <c r="S396" s="37" t="str">
        <f aca="false">IF(AND(R395&lt;0,R396&gt;=0,A396&lt;=MAX(120,Premissas!$B$15*12)),(A396-1)+(-R395)/Q396,"")</f>
        <v/>
      </c>
    </row>
    <row r="397" customFormat="false" ht="15" hidden="false" customHeight="false" outlineLevel="0" collapsed="false">
      <c r="A397" s="10" t="n">
        <f aca="false">A396+1</f>
        <v>393</v>
      </c>
      <c r="B397" s="36" t="n">
        <f aca="false">IF(Premissas!$B$9&lt;=1,1,MIN(1,Premissas!$B$8/100+(1-Premissas!$B$8/100)*(A397-1)/(Premissas!$B$9-1)))</f>
        <v>1</v>
      </c>
      <c r="C397" s="9" t="n">
        <f aca="false">IF(A397&lt;=Resultados!$B$9,Resultados!$B$10,0)</f>
        <v>0</v>
      </c>
      <c r="D397" s="9" t="n">
        <f aca="false">Resultados!$E$37*$B397-Resultados!$F$37*$B397-Premissas!$B$24-Resultados!$E$37*$B397*(Premissas!$B$14/100)</f>
        <v>19027</v>
      </c>
      <c r="E397" s="9" t="n">
        <f aca="false">D397-$C397</f>
        <v>19027</v>
      </c>
      <c r="F397" s="9" t="n">
        <f aca="false">F396+E397</f>
        <v>7088007.9</v>
      </c>
      <c r="G397" s="37" t="str">
        <f aca="false">IF(AND(F396&lt;0,F397&gt;=0,A397&lt;=MAX(120,Premissas!$B$15*12)),(A397-1)+(-F396)/E397,"")</f>
        <v/>
      </c>
      <c r="H397" s="9" t="n">
        <f aca="false">Resultados!$E$38*$B397-Resultados!$F$38*$B397-Premissas!$B$24-Resultados!$E$38*$B397*(Premissas!$B$14/100)</f>
        <v>24432.4</v>
      </c>
      <c r="I397" s="9" t="n">
        <f aca="false">H397-$C397</f>
        <v>24432.4</v>
      </c>
      <c r="J397" s="9" t="n">
        <f aca="false">J396+I397</f>
        <v>9194492.28000007</v>
      </c>
      <c r="K397" s="37" t="str">
        <f aca="false">IF(AND(J396&lt;0,J397&gt;=0,A397&lt;=MAX(120,Premissas!$B$15*12)),(A397-1)+(-J396)/I397,"")</f>
        <v/>
      </c>
      <c r="L397" s="9" t="n">
        <f aca="false">Resultados!$E$39*$B397-Resultados!$F$39*$B397-Premissas!$B$24-Resultados!$E$39*$B397*(Premissas!$B$14/100)</f>
        <v>29837.8</v>
      </c>
      <c r="M397" s="9" t="n">
        <f aca="false">L397-$C397</f>
        <v>29837.8</v>
      </c>
      <c r="N397" s="9" t="n">
        <f aca="false">N396+M397</f>
        <v>11300976.66</v>
      </c>
      <c r="O397" s="37" t="str">
        <f aca="false">IF(AND(N396&lt;0,N397&gt;=0,A397&lt;=MAX(120,Premissas!$B$15*12)),(A397-1)+(-N396)/M397,"")</f>
        <v/>
      </c>
      <c r="P397" s="9" t="n">
        <f aca="false">Resultados!$B$19*$B397-Resultados!$B$20*$B397-Premissas!$B$24-Resultados!$B$19*$B397*(Premissas!$B$14/100)</f>
        <v>24432.4</v>
      </c>
      <c r="Q397" s="9" t="n">
        <f aca="false">P397-$C397</f>
        <v>24432.4</v>
      </c>
      <c r="R397" s="9" t="n">
        <f aca="false">R396+Q397</f>
        <v>9194492.28000007</v>
      </c>
      <c r="S397" s="37" t="str">
        <f aca="false">IF(AND(R396&lt;0,R397&gt;=0,A397&lt;=MAX(120,Premissas!$B$15*12)),(A397-1)+(-R396)/Q397,"")</f>
        <v/>
      </c>
    </row>
    <row r="398" customFormat="false" ht="15" hidden="false" customHeight="false" outlineLevel="0" collapsed="false">
      <c r="A398" s="10" t="n">
        <f aca="false">A397+1</f>
        <v>394</v>
      </c>
      <c r="B398" s="36" t="n">
        <f aca="false">IF(Premissas!$B$9&lt;=1,1,MIN(1,Premissas!$B$8/100+(1-Premissas!$B$8/100)*(A398-1)/(Premissas!$B$9-1)))</f>
        <v>1</v>
      </c>
      <c r="C398" s="9" t="n">
        <f aca="false">IF(A398&lt;=Resultados!$B$9,Resultados!$B$10,0)</f>
        <v>0</v>
      </c>
      <c r="D398" s="9" t="n">
        <f aca="false">Resultados!$E$37*$B398-Resultados!$F$37*$B398-Premissas!$B$24-Resultados!$E$37*$B398*(Premissas!$B$14/100)</f>
        <v>19027</v>
      </c>
      <c r="E398" s="9" t="n">
        <f aca="false">D398-$C398</f>
        <v>19027</v>
      </c>
      <c r="F398" s="9" t="n">
        <f aca="false">F397+E398</f>
        <v>7107034.9</v>
      </c>
      <c r="G398" s="37" t="str">
        <f aca="false">IF(AND(F397&lt;0,F398&gt;=0,A398&lt;=MAX(120,Premissas!$B$15*12)),(A398-1)+(-F397)/E398,"")</f>
        <v/>
      </c>
      <c r="H398" s="9" t="n">
        <f aca="false">Resultados!$E$38*$B398-Resultados!$F$38*$B398-Premissas!$B$24-Resultados!$E$38*$B398*(Premissas!$B$14/100)</f>
        <v>24432.4</v>
      </c>
      <c r="I398" s="9" t="n">
        <f aca="false">H398-$C398</f>
        <v>24432.4</v>
      </c>
      <c r="J398" s="9" t="n">
        <f aca="false">J397+I398</f>
        <v>9218924.68000007</v>
      </c>
      <c r="K398" s="37" t="str">
        <f aca="false">IF(AND(J397&lt;0,J398&gt;=0,A398&lt;=MAX(120,Premissas!$B$15*12)),(A398-1)+(-J397)/I398,"")</f>
        <v/>
      </c>
      <c r="L398" s="9" t="n">
        <f aca="false">Resultados!$E$39*$B398-Resultados!$F$39*$B398-Premissas!$B$24-Resultados!$E$39*$B398*(Premissas!$B$14/100)</f>
        <v>29837.8</v>
      </c>
      <c r="M398" s="9" t="n">
        <f aca="false">L398-$C398</f>
        <v>29837.8</v>
      </c>
      <c r="N398" s="9" t="n">
        <f aca="false">N397+M398</f>
        <v>11330814.46</v>
      </c>
      <c r="O398" s="37" t="str">
        <f aca="false">IF(AND(N397&lt;0,N398&gt;=0,A398&lt;=MAX(120,Premissas!$B$15*12)),(A398-1)+(-N397)/M398,"")</f>
        <v/>
      </c>
      <c r="P398" s="9" t="n">
        <f aca="false">Resultados!$B$19*$B398-Resultados!$B$20*$B398-Premissas!$B$24-Resultados!$B$19*$B398*(Premissas!$B$14/100)</f>
        <v>24432.4</v>
      </c>
      <c r="Q398" s="9" t="n">
        <f aca="false">P398-$C398</f>
        <v>24432.4</v>
      </c>
      <c r="R398" s="9" t="n">
        <f aca="false">R397+Q398</f>
        <v>9218924.68000007</v>
      </c>
      <c r="S398" s="37" t="str">
        <f aca="false">IF(AND(R397&lt;0,R398&gt;=0,A398&lt;=MAX(120,Premissas!$B$15*12)),(A398-1)+(-R397)/Q398,"")</f>
        <v/>
      </c>
    </row>
    <row r="399" customFormat="false" ht="15" hidden="false" customHeight="false" outlineLevel="0" collapsed="false">
      <c r="A399" s="10" t="n">
        <f aca="false">A398+1</f>
        <v>395</v>
      </c>
      <c r="B399" s="36" t="n">
        <f aca="false">IF(Premissas!$B$9&lt;=1,1,MIN(1,Premissas!$B$8/100+(1-Premissas!$B$8/100)*(A399-1)/(Premissas!$B$9-1)))</f>
        <v>1</v>
      </c>
      <c r="C399" s="9" t="n">
        <f aca="false">IF(A399&lt;=Resultados!$B$9,Resultados!$B$10,0)</f>
        <v>0</v>
      </c>
      <c r="D399" s="9" t="n">
        <f aca="false">Resultados!$E$37*$B399-Resultados!$F$37*$B399-Premissas!$B$24-Resultados!$E$37*$B399*(Premissas!$B$14/100)</f>
        <v>19027</v>
      </c>
      <c r="E399" s="9" t="n">
        <f aca="false">D399-$C399</f>
        <v>19027</v>
      </c>
      <c r="F399" s="9" t="n">
        <f aca="false">F398+E399</f>
        <v>7126061.9</v>
      </c>
      <c r="G399" s="37" t="str">
        <f aca="false">IF(AND(F398&lt;0,F399&gt;=0,A399&lt;=MAX(120,Premissas!$B$15*12)),(A399-1)+(-F398)/E399,"")</f>
        <v/>
      </c>
      <c r="H399" s="9" t="n">
        <f aca="false">Resultados!$E$38*$B399-Resultados!$F$38*$B399-Premissas!$B$24-Resultados!$E$38*$B399*(Premissas!$B$14/100)</f>
        <v>24432.4</v>
      </c>
      <c r="I399" s="9" t="n">
        <f aca="false">H399-$C399</f>
        <v>24432.4</v>
      </c>
      <c r="J399" s="9" t="n">
        <f aca="false">J398+I399</f>
        <v>9243357.08000007</v>
      </c>
      <c r="K399" s="37" t="str">
        <f aca="false">IF(AND(J398&lt;0,J399&gt;=0,A399&lt;=MAX(120,Premissas!$B$15*12)),(A399-1)+(-J398)/I399,"")</f>
        <v/>
      </c>
      <c r="L399" s="9" t="n">
        <f aca="false">Resultados!$E$39*$B399-Resultados!$F$39*$B399-Premissas!$B$24-Resultados!$E$39*$B399*(Premissas!$B$14/100)</f>
        <v>29837.8</v>
      </c>
      <c r="M399" s="9" t="n">
        <f aca="false">L399-$C399</f>
        <v>29837.8</v>
      </c>
      <c r="N399" s="9" t="n">
        <f aca="false">N398+M399</f>
        <v>11360652.26</v>
      </c>
      <c r="O399" s="37" t="str">
        <f aca="false">IF(AND(N398&lt;0,N399&gt;=0,A399&lt;=MAX(120,Premissas!$B$15*12)),(A399-1)+(-N398)/M399,"")</f>
        <v/>
      </c>
      <c r="P399" s="9" t="n">
        <f aca="false">Resultados!$B$19*$B399-Resultados!$B$20*$B399-Premissas!$B$24-Resultados!$B$19*$B399*(Premissas!$B$14/100)</f>
        <v>24432.4</v>
      </c>
      <c r="Q399" s="9" t="n">
        <f aca="false">P399-$C399</f>
        <v>24432.4</v>
      </c>
      <c r="R399" s="9" t="n">
        <f aca="false">R398+Q399</f>
        <v>9243357.08000007</v>
      </c>
      <c r="S399" s="37" t="str">
        <f aca="false">IF(AND(R398&lt;0,R399&gt;=0,A399&lt;=MAX(120,Premissas!$B$15*12)),(A399-1)+(-R398)/Q399,"")</f>
        <v/>
      </c>
    </row>
    <row r="400" customFormat="false" ht="15" hidden="false" customHeight="false" outlineLevel="0" collapsed="false">
      <c r="A400" s="10" t="n">
        <f aca="false">A399+1</f>
        <v>396</v>
      </c>
      <c r="B400" s="36" t="n">
        <f aca="false">IF(Premissas!$B$9&lt;=1,1,MIN(1,Premissas!$B$8/100+(1-Premissas!$B$8/100)*(A400-1)/(Premissas!$B$9-1)))</f>
        <v>1</v>
      </c>
      <c r="C400" s="9" t="n">
        <f aca="false">IF(A400&lt;=Resultados!$B$9,Resultados!$B$10,0)</f>
        <v>0</v>
      </c>
      <c r="D400" s="9" t="n">
        <f aca="false">Resultados!$E$37*$B400-Resultados!$F$37*$B400-Premissas!$B$24-Resultados!$E$37*$B400*(Premissas!$B$14/100)</f>
        <v>19027</v>
      </c>
      <c r="E400" s="9" t="n">
        <f aca="false">D400-$C400</f>
        <v>19027</v>
      </c>
      <c r="F400" s="9" t="n">
        <f aca="false">F399+E400</f>
        <v>7145088.9</v>
      </c>
      <c r="G400" s="37" t="str">
        <f aca="false">IF(AND(F399&lt;0,F400&gt;=0,A400&lt;=MAX(120,Premissas!$B$15*12)),(A400-1)+(-F399)/E400,"")</f>
        <v/>
      </c>
      <c r="H400" s="9" t="n">
        <f aca="false">Resultados!$E$38*$B400-Resultados!$F$38*$B400-Premissas!$B$24-Resultados!$E$38*$B400*(Premissas!$B$14/100)</f>
        <v>24432.4</v>
      </c>
      <c r="I400" s="9" t="n">
        <f aca="false">H400-$C400</f>
        <v>24432.4</v>
      </c>
      <c r="J400" s="9" t="n">
        <f aca="false">J399+I400</f>
        <v>9267789.48000007</v>
      </c>
      <c r="K400" s="37" t="str">
        <f aca="false">IF(AND(J399&lt;0,J400&gt;=0,A400&lt;=MAX(120,Premissas!$B$15*12)),(A400-1)+(-J399)/I400,"")</f>
        <v/>
      </c>
      <c r="L400" s="9" t="n">
        <f aca="false">Resultados!$E$39*$B400-Resultados!$F$39*$B400-Premissas!$B$24-Resultados!$E$39*$B400*(Premissas!$B$14/100)</f>
        <v>29837.8</v>
      </c>
      <c r="M400" s="9" t="n">
        <f aca="false">L400-$C400</f>
        <v>29837.8</v>
      </c>
      <c r="N400" s="9" t="n">
        <f aca="false">N399+M400</f>
        <v>11390490.06</v>
      </c>
      <c r="O400" s="37" t="str">
        <f aca="false">IF(AND(N399&lt;0,N400&gt;=0,A400&lt;=MAX(120,Premissas!$B$15*12)),(A400-1)+(-N399)/M400,"")</f>
        <v/>
      </c>
      <c r="P400" s="9" t="n">
        <f aca="false">Resultados!$B$19*$B400-Resultados!$B$20*$B400-Premissas!$B$24-Resultados!$B$19*$B400*(Premissas!$B$14/100)</f>
        <v>24432.4</v>
      </c>
      <c r="Q400" s="9" t="n">
        <f aca="false">P400-$C400</f>
        <v>24432.4</v>
      </c>
      <c r="R400" s="9" t="n">
        <f aca="false">R399+Q400</f>
        <v>9267789.48000007</v>
      </c>
      <c r="S400" s="37" t="str">
        <f aca="false">IF(AND(R399&lt;0,R400&gt;=0,A400&lt;=MAX(120,Premissas!$B$15*12)),(A400-1)+(-R399)/Q400,"")</f>
        <v/>
      </c>
    </row>
    <row r="401" customFormat="false" ht="15" hidden="false" customHeight="false" outlineLevel="0" collapsed="false">
      <c r="A401" s="10" t="n">
        <f aca="false">A400+1</f>
        <v>397</v>
      </c>
      <c r="B401" s="36" t="n">
        <f aca="false">IF(Premissas!$B$9&lt;=1,1,MIN(1,Premissas!$B$8/100+(1-Premissas!$B$8/100)*(A401-1)/(Premissas!$B$9-1)))</f>
        <v>1</v>
      </c>
      <c r="C401" s="9" t="n">
        <f aca="false">IF(A401&lt;=Resultados!$B$9,Resultados!$B$10,0)</f>
        <v>0</v>
      </c>
      <c r="D401" s="9" t="n">
        <f aca="false">Resultados!$E$37*$B401-Resultados!$F$37*$B401-Premissas!$B$24-Resultados!$E$37*$B401*(Premissas!$B$14/100)</f>
        <v>19027</v>
      </c>
      <c r="E401" s="9" t="n">
        <f aca="false">D401-$C401</f>
        <v>19027</v>
      </c>
      <c r="F401" s="9" t="n">
        <f aca="false">F400+E401</f>
        <v>7164115.9</v>
      </c>
      <c r="G401" s="37" t="str">
        <f aca="false">IF(AND(F400&lt;0,F401&gt;=0,A401&lt;=MAX(120,Premissas!$B$15*12)),(A401-1)+(-F400)/E401,"")</f>
        <v/>
      </c>
      <c r="H401" s="9" t="n">
        <f aca="false">Resultados!$E$38*$B401-Resultados!$F$38*$B401-Premissas!$B$24-Resultados!$E$38*$B401*(Premissas!$B$14/100)</f>
        <v>24432.4</v>
      </c>
      <c r="I401" s="9" t="n">
        <f aca="false">H401-$C401</f>
        <v>24432.4</v>
      </c>
      <c r="J401" s="9" t="n">
        <f aca="false">J400+I401</f>
        <v>9292221.88000007</v>
      </c>
      <c r="K401" s="37" t="str">
        <f aca="false">IF(AND(J400&lt;0,J401&gt;=0,A401&lt;=MAX(120,Premissas!$B$15*12)),(A401-1)+(-J400)/I401,"")</f>
        <v/>
      </c>
      <c r="L401" s="9" t="n">
        <f aca="false">Resultados!$E$39*$B401-Resultados!$F$39*$B401-Premissas!$B$24-Resultados!$E$39*$B401*(Premissas!$B$14/100)</f>
        <v>29837.8</v>
      </c>
      <c r="M401" s="9" t="n">
        <f aca="false">L401-$C401</f>
        <v>29837.8</v>
      </c>
      <c r="N401" s="9" t="n">
        <f aca="false">N400+M401</f>
        <v>11420327.86</v>
      </c>
      <c r="O401" s="37" t="str">
        <f aca="false">IF(AND(N400&lt;0,N401&gt;=0,A401&lt;=MAX(120,Premissas!$B$15*12)),(A401-1)+(-N400)/M401,"")</f>
        <v/>
      </c>
      <c r="P401" s="9" t="n">
        <f aca="false">Resultados!$B$19*$B401-Resultados!$B$20*$B401-Premissas!$B$24-Resultados!$B$19*$B401*(Premissas!$B$14/100)</f>
        <v>24432.4</v>
      </c>
      <c r="Q401" s="9" t="n">
        <f aca="false">P401-$C401</f>
        <v>24432.4</v>
      </c>
      <c r="R401" s="9" t="n">
        <f aca="false">R400+Q401</f>
        <v>9292221.88000007</v>
      </c>
      <c r="S401" s="37" t="str">
        <f aca="false">IF(AND(R400&lt;0,R401&gt;=0,A401&lt;=MAX(120,Premissas!$B$15*12)),(A401-1)+(-R400)/Q401,"")</f>
        <v/>
      </c>
    </row>
    <row r="402" customFormat="false" ht="15" hidden="false" customHeight="false" outlineLevel="0" collapsed="false">
      <c r="A402" s="10" t="n">
        <f aca="false">A401+1</f>
        <v>398</v>
      </c>
      <c r="B402" s="36" t="n">
        <f aca="false">IF(Premissas!$B$9&lt;=1,1,MIN(1,Premissas!$B$8/100+(1-Premissas!$B$8/100)*(A402-1)/(Premissas!$B$9-1)))</f>
        <v>1</v>
      </c>
      <c r="C402" s="9" t="n">
        <f aca="false">IF(A402&lt;=Resultados!$B$9,Resultados!$B$10,0)</f>
        <v>0</v>
      </c>
      <c r="D402" s="9" t="n">
        <f aca="false">Resultados!$E$37*$B402-Resultados!$F$37*$B402-Premissas!$B$24-Resultados!$E$37*$B402*(Premissas!$B$14/100)</f>
        <v>19027</v>
      </c>
      <c r="E402" s="9" t="n">
        <f aca="false">D402-$C402</f>
        <v>19027</v>
      </c>
      <c r="F402" s="9" t="n">
        <f aca="false">F401+E402</f>
        <v>7183142.9</v>
      </c>
      <c r="G402" s="37" t="str">
        <f aca="false">IF(AND(F401&lt;0,F402&gt;=0,A402&lt;=MAX(120,Premissas!$B$15*12)),(A402-1)+(-F401)/E402,"")</f>
        <v/>
      </c>
      <c r="H402" s="9" t="n">
        <f aca="false">Resultados!$E$38*$B402-Resultados!$F$38*$B402-Premissas!$B$24-Resultados!$E$38*$B402*(Premissas!$B$14/100)</f>
        <v>24432.4</v>
      </c>
      <c r="I402" s="9" t="n">
        <f aca="false">H402-$C402</f>
        <v>24432.4</v>
      </c>
      <c r="J402" s="9" t="n">
        <f aca="false">J401+I402</f>
        <v>9316654.28000007</v>
      </c>
      <c r="K402" s="37" t="str">
        <f aca="false">IF(AND(J401&lt;0,J402&gt;=0,A402&lt;=MAX(120,Premissas!$B$15*12)),(A402-1)+(-J401)/I402,"")</f>
        <v/>
      </c>
      <c r="L402" s="9" t="n">
        <f aca="false">Resultados!$E$39*$B402-Resultados!$F$39*$B402-Premissas!$B$24-Resultados!$E$39*$B402*(Premissas!$B$14/100)</f>
        <v>29837.8</v>
      </c>
      <c r="M402" s="9" t="n">
        <f aca="false">L402-$C402</f>
        <v>29837.8</v>
      </c>
      <c r="N402" s="9" t="n">
        <f aca="false">N401+M402</f>
        <v>11450165.66</v>
      </c>
      <c r="O402" s="37" t="str">
        <f aca="false">IF(AND(N401&lt;0,N402&gt;=0,A402&lt;=MAX(120,Premissas!$B$15*12)),(A402-1)+(-N401)/M402,"")</f>
        <v/>
      </c>
      <c r="P402" s="9" t="n">
        <f aca="false">Resultados!$B$19*$B402-Resultados!$B$20*$B402-Premissas!$B$24-Resultados!$B$19*$B402*(Premissas!$B$14/100)</f>
        <v>24432.4</v>
      </c>
      <c r="Q402" s="9" t="n">
        <f aca="false">P402-$C402</f>
        <v>24432.4</v>
      </c>
      <c r="R402" s="9" t="n">
        <f aca="false">R401+Q402</f>
        <v>9316654.28000007</v>
      </c>
      <c r="S402" s="37" t="str">
        <f aca="false">IF(AND(R401&lt;0,R402&gt;=0,A402&lt;=MAX(120,Premissas!$B$15*12)),(A402-1)+(-R401)/Q402,"")</f>
        <v/>
      </c>
    </row>
    <row r="403" customFormat="false" ht="15" hidden="false" customHeight="false" outlineLevel="0" collapsed="false">
      <c r="A403" s="10" t="n">
        <f aca="false">A402+1</f>
        <v>399</v>
      </c>
      <c r="B403" s="36" t="n">
        <f aca="false">IF(Premissas!$B$9&lt;=1,1,MIN(1,Premissas!$B$8/100+(1-Premissas!$B$8/100)*(A403-1)/(Premissas!$B$9-1)))</f>
        <v>1</v>
      </c>
      <c r="C403" s="9" t="n">
        <f aca="false">IF(A403&lt;=Resultados!$B$9,Resultados!$B$10,0)</f>
        <v>0</v>
      </c>
      <c r="D403" s="9" t="n">
        <f aca="false">Resultados!$E$37*$B403-Resultados!$F$37*$B403-Premissas!$B$24-Resultados!$E$37*$B403*(Premissas!$B$14/100)</f>
        <v>19027</v>
      </c>
      <c r="E403" s="9" t="n">
        <f aca="false">D403-$C403</f>
        <v>19027</v>
      </c>
      <c r="F403" s="9" t="n">
        <f aca="false">F402+E403</f>
        <v>7202169.9</v>
      </c>
      <c r="G403" s="37" t="str">
        <f aca="false">IF(AND(F402&lt;0,F403&gt;=0,A403&lt;=MAX(120,Premissas!$B$15*12)),(A403-1)+(-F402)/E403,"")</f>
        <v/>
      </c>
      <c r="H403" s="9" t="n">
        <f aca="false">Resultados!$E$38*$B403-Resultados!$F$38*$B403-Premissas!$B$24-Resultados!$E$38*$B403*(Premissas!$B$14/100)</f>
        <v>24432.4</v>
      </c>
      <c r="I403" s="9" t="n">
        <f aca="false">H403-$C403</f>
        <v>24432.4</v>
      </c>
      <c r="J403" s="9" t="n">
        <f aca="false">J402+I403</f>
        <v>9341086.68000007</v>
      </c>
      <c r="K403" s="37" t="str">
        <f aca="false">IF(AND(J402&lt;0,J403&gt;=0,A403&lt;=MAX(120,Premissas!$B$15*12)),(A403-1)+(-J402)/I403,"")</f>
        <v/>
      </c>
      <c r="L403" s="9" t="n">
        <f aca="false">Resultados!$E$39*$B403-Resultados!$F$39*$B403-Premissas!$B$24-Resultados!$E$39*$B403*(Premissas!$B$14/100)</f>
        <v>29837.8</v>
      </c>
      <c r="M403" s="9" t="n">
        <f aca="false">L403-$C403</f>
        <v>29837.8</v>
      </c>
      <c r="N403" s="9" t="n">
        <f aca="false">N402+M403</f>
        <v>11480003.46</v>
      </c>
      <c r="O403" s="37" t="str">
        <f aca="false">IF(AND(N402&lt;0,N403&gt;=0,A403&lt;=MAX(120,Premissas!$B$15*12)),(A403-1)+(-N402)/M403,"")</f>
        <v/>
      </c>
      <c r="P403" s="9" t="n">
        <f aca="false">Resultados!$B$19*$B403-Resultados!$B$20*$B403-Premissas!$B$24-Resultados!$B$19*$B403*(Premissas!$B$14/100)</f>
        <v>24432.4</v>
      </c>
      <c r="Q403" s="9" t="n">
        <f aca="false">P403-$C403</f>
        <v>24432.4</v>
      </c>
      <c r="R403" s="9" t="n">
        <f aca="false">R402+Q403</f>
        <v>9341086.68000007</v>
      </c>
      <c r="S403" s="37" t="str">
        <f aca="false">IF(AND(R402&lt;0,R403&gt;=0,A403&lt;=MAX(120,Premissas!$B$15*12)),(A403-1)+(-R402)/Q403,"")</f>
        <v/>
      </c>
    </row>
    <row r="404" customFormat="false" ht="15" hidden="false" customHeight="false" outlineLevel="0" collapsed="false">
      <c r="A404" s="10" t="n">
        <f aca="false">A403+1</f>
        <v>400</v>
      </c>
      <c r="B404" s="36" t="n">
        <f aca="false">IF(Premissas!$B$9&lt;=1,1,MIN(1,Premissas!$B$8/100+(1-Premissas!$B$8/100)*(A404-1)/(Premissas!$B$9-1)))</f>
        <v>1</v>
      </c>
      <c r="C404" s="9" t="n">
        <f aca="false">IF(A404&lt;=Resultados!$B$9,Resultados!$B$10,0)</f>
        <v>0</v>
      </c>
      <c r="D404" s="9" t="n">
        <f aca="false">Resultados!$E$37*$B404-Resultados!$F$37*$B404-Premissas!$B$24-Resultados!$E$37*$B404*(Premissas!$B$14/100)</f>
        <v>19027</v>
      </c>
      <c r="E404" s="9" t="n">
        <f aca="false">D404-$C404</f>
        <v>19027</v>
      </c>
      <c r="F404" s="9" t="n">
        <f aca="false">F403+E404</f>
        <v>7221196.9</v>
      </c>
      <c r="G404" s="37" t="str">
        <f aca="false">IF(AND(F403&lt;0,F404&gt;=0,A404&lt;=MAX(120,Premissas!$B$15*12)),(A404-1)+(-F403)/E404,"")</f>
        <v/>
      </c>
      <c r="H404" s="9" t="n">
        <f aca="false">Resultados!$E$38*$B404-Resultados!$F$38*$B404-Premissas!$B$24-Resultados!$E$38*$B404*(Premissas!$B$14/100)</f>
        <v>24432.4</v>
      </c>
      <c r="I404" s="9" t="n">
        <f aca="false">H404-$C404</f>
        <v>24432.4</v>
      </c>
      <c r="J404" s="9" t="n">
        <f aca="false">J403+I404</f>
        <v>9365519.08000007</v>
      </c>
      <c r="K404" s="37" t="str">
        <f aca="false">IF(AND(J403&lt;0,J404&gt;=0,A404&lt;=MAX(120,Premissas!$B$15*12)),(A404-1)+(-J403)/I404,"")</f>
        <v/>
      </c>
      <c r="L404" s="9" t="n">
        <f aca="false">Resultados!$E$39*$B404-Resultados!$F$39*$B404-Premissas!$B$24-Resultados!$E$39*$B404*(Premissas!$B$14/100)</f>
        <v>29837.8</v>
      </c>
      <c r="M404" s="9" t="n">
        <f aca="false">L404-$C404</f>
        <v>29837.8</v>
      </c>
      <c r="N404" s="9" t="n">
        <f aca="false">N403+M404</f>
        <v>11509841.26</v>
      </c>
      <c r="O404" s="37" t="str">
        <f aca="false">IF(AND(N403&lt;0,N404&gt;=0,A404&lt;=MAX(120,Premissas!$B$15*12)),(A404-1)+(-N403)/M404,"")</f>
        <v/>
      </c>
      <c r="P404" s="9" t="n">
        <f aca="false">Resultados!$B$19*$B404-Resultados!$B$20*$B404-Premissas!$B$24-Resultados!$B$19*$B404*(Premissas!$B$14/100)</f>
        <v>24432.4</v>
      </c>
      <c r="Q404" s="9" t="n">
        <f aca="false">P404-$C404</f>
        <v>24432.4</v>
      </c>
      <c r="R404" s="9" t="n">
        <f aca="false">R403+Q404</f>
        <v>9365519.08000007</v>
      </c>
      <c r="S404" s="37" t="str">
        <f aca="false">IF(AND(R403&lt;0,R404&gt;=0,A404&lt;=MAX(120,Premissas!$B$15*12)),(A404-1)+(-R403)/Q404,"")</f>
        <v/>
      </c>
    </row>
    <row r="405" customFormat="false" ht="15" hidden="false" customHeight="false" outlineLevel="0" collapsed="false">
      <c r="A405" s="10" t="n">
        <f aca="false">A404+1</f>
        <v>401</v>
      </c>
      <c r="B405" s="36" t="n">
        <f aca="false">IF(Premissas!$B$9&lt;=1,1,MIN(1,Premissas!$B$8/100+(1-Premissas!$B$8/100)*(A405-1)/(Premissas!$B$9-1)))</f>
        <v>1</v>
      </c>
      <c r="C405" s="9" t="n">
        <f aca="false">IF(A405&lt;=Resultados!$B$9,Resultados!$B$10,0)</f>
        <v>0</v>
      </c>
      <c r="D405" s="9" t="n">
        <f aca="false">Resultados!$E$37*$B405-Resultados!$F$37*$B405-Premissas!$B$24-Resultados!$E$37*$B405*(Premissas!$B$14/100)</f>
        <v>19027</v>
      </c>
      <c r="E405" s="9" t="n">
        <f aca="false">D405-$C405</f>
        <v>19027</v>
      </c>
      <c r="F405" s="9" t="n">
        <f aca="false">F404+E405</f>
        <v>7240223.9</v>
      </c>
      <c r="G405" s="37" t="str">
        <f aca="false">IF(AND(F404&lt;0,F405&gt;=0,A405&lt;=MAX(120,Premissas!$B$15*12)),(A405-1)+(-F404)/E405,"")</f>
        <v/>
      </c>
      <c r="H405" s="9" t="n">
        <f aca="false">Resultados!$E$38*$B405-Resultados!$F$38*$B405-Premissas!$B$24-Resultados!$E$38*$B405*(Premissas!$B$14/100)</f>
        <v>24432.4</v>
      </c>
      <c r="I405" s="9" t="n">
        <f aca="false">H405-$C405</f>
        <v>24432.4</v>
      </c>
      <c r="J405" s="9" t="n">
        <f aca="false">J404+I405</f>
        <v>9389951.48000007</v>
      </c>
      <c r="K405" s="37" t="str">
        <f aca="false">IF(AND(J404&lt;0,J405&gt;=0,A405&lt;=MAX(120,Premissas!$B$15*12)),(A405-1)+(-J404)/I405,"")</f>
        <v/>
      </c>
      <c r="L405" s="9" t="n">
        <f aca="false">Resultados!$E$39*$B405-Resultados!$F$39*$B405-Premissas!$B$24-Resultados!$E$39*$B405*(Premissas!$B$14/100)</f>
        <v>29837.8</v>
      </c>
      <c r="M405" s="9" t="n">
        <f aca="false">L405-$C405</f>
        <v>29837.8</v>
      </c>
      <c r="N405" s="9" t="n">
        <f aca="false">N404+M405</f>
        <v>11539679.06</v>
      </c>
      <c r="O405" s="37" t="str">
        <f aca="false">IF(AND(N404&lt;0,N405&gt;=0,A405&lt;=MAX(120,Premissas!$B$15*12)),(A405-1)+(-N404)/M405,"")</f>
        <v/>
      </c>
      <c r="P405" s="9" t="n">
        <f aca="false">Resultados!$B$19*$B405-Resultados!$B$20*$B405-Premissas!$B$24-Resultados!$B$19*$B405*(Premissas!$B$14/100)</f>
        <v>24432.4</v>
      </c>
      <c r="Q405" s="9" t="n">
        <f aca="false">P405-$C405</f>
        <v>24432.4</v>
      </c>
      <c r="R405" s="9" t="n">
        <f aca="false">R404+Q405</f>
        <v>9389951.48000007</v>
      </c>
      <c r="S405" s="37" t="str">
        <f aca="false">IF(AND(R404&lt;0,R405&gt;=0,A405&lt;=MAX(120,Premissas!$B$15*12)),(A405-1)+(-R404)/Q405,"")</f>
        <v/>
      </c>
    </row>
    <row r="406" customFormat="false" ht="15" hidden="false" customHeight="false" outlineLevel="0" collapsed="false">
      <c r="A406" s="10" t="n">
        <f aca="false">A405+1</f>
        <v>402</v>
      </c>
      <c r="B406" s="36" t="n">
        <f aca="false">IF(Premissas!$B$9&lt;=1,1,MIN(1,Premissas!$B$8/100+(1-Premissas!$B$8/100)*(A406-1)/(Premissas!$B$9-1)))</f>
        <v>1</v>
      </c>
      <c r="C406" s="9" t="n">
        <f aca="false">IF(A406&lt;=Resultados!$B$9,Resultados!$B$10,0)</f>
        <v>0</v>
      </c>
      <c r="D406" s="9" t="n">
        <f aca="false">Resultados!$E$37*$B406-Resultados!$F$37*$B406-Premissas!$B$24-Resultados!$E$37*$B406*(Premissas!$B$14/100)</f>
        <v>19027</v>
      </c>
      <c r="E406" s="9" t="n">
        <f aca="false">D406-$C406</f>
        <v>19027</v>
      </c>
      <c r="F406" s="9" t="n">
        <f aca="false">F405+E406</f>
        <v>7259250.9</v>
      </c>
      <c r="G406" s="37" t="str">
        <f aca="false">IF(AND(F405&lt;0,F406&gt;=0,A406&lt;=MAX(120,Premissas!$B$15*12)),(A406-1)+(-F405)/E406,"")</f>
        <v/>
      </c>
      <c r="H406" s="9" t="n">
        <f aca="false">Resultados!$E$38*$B406-Resultados!$F$38*$B406-Premissas!$B$24-Resultados!$E$38*$B406*(Premissas!$B$14/100)</f>
        <v>24432.4</v>
      </c>
      <c r="I406" s="9" t="n">
        <f aca="false">H406-$C406</f>
        <v>24432.4</v>
      </c>
      <c r="J406" s="9" t="n">
        <f aca="false">J405+I406</f>
        <v>9414383.88000007</v>
      </c>
      <c r="K406" s="37" t="str">
        <f aca="false">IF(AND(J405&lt;0,J406&gt;=0,A406&lt;=MAX(120,Premissas!$B$15*12)),(A406-1)+(-J405)/I406,"")</f>
        <v/>
      </c>
      <c r="L406" s="9" t="n">
        <f aca="false">Resultados!$E$39*$B406-Resultados!$F$39*$B406-Premissas!$B$24-Resultados!$E$39*$B406*(Premissas!$B$14/100)</f>
        <v>29837.8</v>
      </c>
      <c r="M406" s="9" t="n">
        <f aca="false">L406-$C406</f>
        <v>29837.8</v>
      </c>
      <c r="N406" s="9" t="n">
        <f aca="false">N405+M406</f>
        <v>11569516.86</v>
      </c>
      <c r="O406" s="37" t="str">
        <f aca="false">IF(AND(N405&lt;0,N406&gt;=0,A406&lt;=MAX(120,Premissas!$B$15*12)),(A406-1)+(-N405)/M406,"")</f>
        <v/>
      </c>
      <c r="P406" s="9" t="n">
        <f aca="false">Resultados!$B$19*$B406-Resultados!$B$20*$B406-Premissas!$B$24-Resultados!$B$19*$B406*(Premissas!$B$14/100)</f>
        <v>24432.4</v>
      </c>
      <c r="Q406" s="9" t="n">
        <f aca="false">P406-$C406</f>
        <v>24432.4</v>
      </c>
      <c r="R406" s="9" t="n">
        <f aca="false">R405+Q406</f>
        <v>9414383.88000007</v>
      </c>
      <c r="S406" s="37" t="str">
        <f aca="false">IF(AND(R405&lt;0,R406&gt;=0,A406&lt;=MAX(120,Premissas!$B$15*12)),(A406-1)+(-R405)/Q406,"")</f>
        <v/>
      </c>
    </row>
    <row r="407" customFormat="false" ht="15" hidden="false" customHeight="false" outlineLevel="0" collapsed="false">
      <c r="A407" s="10" t="n">
        <f aca="false">A406+1</f>
        <v>403</v>
      </c>
      <c r="B407" s="36" t="n">
        <f aca="false">IF(Premissas!$B$9&lt;=1,1,MIN(1,Premissas!$B$8/100+(1-Premissas!$B$8/100)*(A407-1)/(Premissas!$B$9-1)))</f>
        <v>1</v>
      </c>
      <c r="C407" s="9" t="n">
        <f aca="false">IF(A407&lt;=Resultados!$B$9,Resultados!$B$10,0)</f>
        <v>0</v>
      </c>
      <c r="D407" s="9" t="n">
        <f aca="false">Resultados!$E$37*$B407-Resultados!$F$37*$B407-Premissas!$B$24-Resultados!$E$37*$B407*(Premissas!$B$14/100)</f>
        <v>19027</v>
      </c>
      <c r="E407" s="9" t="n">
        <f aca="false">D407-$C407</f>
        <v>19027</v>
      </c>
      <c r="F407" s="9" t="n">
        <f aca="false">F406+E407</f>
        <v>7278277.9</v>
      </c>
      <c r="G407" s="37" t="str">
        <f aca="false">IF(AND(F406&lt;0,F407&gt;=0,A407&lt;=MAX(120,Premissas!$B$15*12)),(A407-1)+(-F406)/E407,"")</f>
        <v/>
      </c>
      <c r="H407" s="9" t="n">
        <f aca="false">Resultados!$E$38*$B407-Resultados!$F$38*$B407-Premissas!$B$24-Resultados!$E$38*$B407*(Premissas!$B$14/100)</f>
        <v>24432.4</v>
      </c>
      <c r="I407" s="9" t="n">
        <f aca="false">H407-$C407</f>
        <v>24432.4</v>
      </c>
      <c r="J407" s="9" t="n">
        <f aca="false">J406+I407</f>
        <v>9438816.28000007</v>
      </c>
      <c r="K407" s="37" t="str">
        <f aca="false">IF(AND(J406&lt;0,J407&gt;=0,A407&lt;=MAX(120,Premissas!$B$15*12)),(A407-1)+(-J406)/I407,"")</f>
        <v/>
      </c>
      <c r="L407" s="9" t="n">
        <f aca="false">Resultados!$E$39*$B407-Resultados!$F$39*$B407-Premissas!$B$24-Resultados!$E$39*$B407*(Premissas!$B$14/100)</f>
        <v>29837.8</v>
      </c>
      <c r="M407" s="9" t="n">
        <f aca="false">L407-$C407</f>
        <v>29837.8</v>
      </c>
      <c r="N407" s="9" t="n">
        <f aca="false">N406+M407</f>
        <v>11599354.66</v>
      </c>
      <c r="O407" s="37" t="str">
        <f aca="false">IF(AND(N406&lt;0,N407&gt;=0,A407&lt;=MAX(120,Premissas!$B$15*12)),(A407-1)+(-N406)/M407,"")</f>
        <v/>
      </c>
      <c r="P407" s="9" t="n">
        <f aca="false">Resultados!$B$19*$B407-Resultados!$B$20*$B407-Premissas!$B$24-Resultados!$B$19*$B407*(Premissas!$B$14/100)</f>
        <v>24432.4</v>
      </c>
      <c r="Q407" s="9" t="n">
        <f aca="false">P407-$C407</f>
        <v>24432.4</v>
      </c>
      <c r="R407" s="9" t="n">
        <f aca="false">R406+Q407</f>
        <v>9438816.28000007</v>
      </c>
      <c r="S407" s="37" t="str">
        <f aca="false">IF(AND(R406&lt;0,R407&gt;=0,A407&lt;=MAX(120,Premissas!$B$15*12)),(A407-1)+(-R406)/Q407,"")</f>
        <v/>
      </c>
    </row>
    <row r="408" customFormat="false" ht="15" hidden="false" customHeight="false" outlineLevel="0" collapsed="false">
      <c r="A408" s="10" t="n">
        <f aca="false">A407+1</f>
        <v>404</v>
      </c>
      <c r="B408" s="36" t="n">
        <f aca="false">IF(Premissas!$B$9&lt;=1,1,MIN(1,Premissas!$B$8/100+(1-Premissas!$B$8/100)*(A408-1)/(Premissas!$B$9-1)))</f>
        <v>1</v>
      </c>
      <c r="C408" s="9" t="n">
        <f aca="false">IF(A408&lt;=Resultados!$B$9,Resultados!$B$10,0)</f>
        <v>0</v>
      </c>
      <c r="D408" s="9" t="n">
        <f aca="false">Resultados!$E$37*$B408-Resultados!$F$37*$B408-Premissas!$B$24-Resultados!$E$37*$B408*(Premissas!$B$14/100)</f>
        <v>19027</v>
      </c>
      <c r="E408" s="9" t="n">
        <f aca="false">D408-$C408</f>
        <v>19027</v>
      </c>
      <c r="F408" s="9" t="n">
        <f aca="false">F407+E408</f>
        <v>7297304.9</v>
      </c>
      <c r="G408" s="37" t="str">
        <f aca="false">IF(AND(F407&lt;0,F408&gt;=0,A408&lt;=MAX(120,Premissas!$B$15*12)),(A408-1)+(-F407)/E408,"")</f>
        <v/>
      </c>
      <c r="H408" s="9" t="n">
        <f aca="false">Resultados!$E$38*$B408-Resultados!$F$38*$B408-Premissas!$B$24-Resultados!$E$38*$B408*(Premissas!$B$14/100)</f>
        <v>24432.4</v>
      </c>
      <c r="I408" s="9" t="n">
        <f aca="false">H408-$C408</f>
        <v>24432.4</v>
      </c>
      <c r="J408" s="9" t="n">
        <f aca="false">J407+I408</f>
        <v>9463248.68000007</v>
      </c>
      <c r="K408" s="37" t="str">
        <f aca="false">IF(AND(J407&lt;0,J408&gt;=0,A408&lt;=MAX(120,Premissas!$B$15*12)),(A408-1)+(-J407)/I408,"")</f>
        <v/>
      </c>
      <c r="L408" s="9" t="n">
        <f aca="false">Resultados!$E$39*$B408-Resultados!$F$39*$B408-Premissas!$B$24-Resultados!$E$39*$B408*(Premissas!$B$14/100)</f>
        <v>29837.8</v>
      </c>
      <c r="M408" s="9" t="n">
        <f aca="false">L408-$C408</f>
        <v>29837.8</v>
      </c>
      <c r="N408" s="9" t="n">
        <f aca="false">N407+M408</f>
        <v>11629192.46</v>
      </c>
      <c r="O408" s="37" t="str">
        <f aca="false">IF(AND(N407&lt;0,N408&gt;=0,A408&lt;=MAX(120,Premissas!$B$15*12)),(A408-1)+(-N407)/M408,"")</f>
        <v/>
      </c>
      <c r="P408" s="9" t="n">
        <f aca="false">Resultados!$B$19*$B408-Resultados!$B$20*$B408-Premissas!$B$24-Resultados!$B$19*$B408*(Premissas!$B$14/100)</f>
        <v>24432.4</v>
      </c>
      <c r="Q408" s="9" t="n">
        <f aca="false">P408-$C408</f>
        <v>24432.4</v>
      </c>
      <c r="R408" s="9" t="n">
        <f aca="false">R407+Q408</f>
        <v>9463248.68000007</v>
      </c>
      <c r="S408" s="37" t="str">
        <f aca="false">IF(AND(R407&lt;0,R408&gt;=0,A408&lt;=MAX(120,Premissas!$B$15*12)),(A408-1)+(-R407)/Q408,"")</f>
        <v/>
      </c>
    </row>
    <row r="409" customFormat="false" ht="15" hidden="false" customHeight="false" outlineLevel="0" collapsed="false">
      <c r="A409" s="10" t="n">
        <f aca="false">A408+1</f>
        <v>405</v>
      </c>
      <c r="B409" s="36" t="n">
        <f aca="false">IF(Premissas!$B$9&lt;=1,1,MIN(1,Premissas!$B$8/100+(1-Premissas!$B$8/100)*(A409-1)/(Premissas!$B$9-1)))</f>
        <v>1</v>
      </c>
      <c r="C409" s="9" t="n">
        <f aca="false">IF(A409&lt;=Resultados!$B$9,Resultados!$B$10,0)</f>
        <v>0</v>
      </c>
      <c r="D409" s="9" t="n">
        <f aca="false">Resultados!$E$37*$B409-Resultados!$F$37*$B409-Premissas!$B$24-Resultados!$E$37*$B409*(Premissas!$B$14/100)</f>
        <v>19027</v>
      </c>
      <c r="E409" s="9" t="n">
        <f aca="false">D409-$C409</f>
        <v>19027</v>
      </c>
      <c r="F409" s="9" t="n">
        <f aca="false">F408+E409</f>
        <v>7316331.9</v>
      </c>
      <c r="G409" s="37" t="str">
        <f aca="false">IF(AND(F408&lt;0,F409&gt;=0,A409&lt;=MAX(120,Premissas!$B$15*12)),(A409-1)+(-F408)/E409,"")</f>
        <v/>
      </c>
      <c r="H409" s="9" t="n">
        <f aca="false">Resultados!$E$38*$B409-Resultados!$F$38*$B409-Premissas!$B$24-Resultados!$E$38*$B409*(Premissas!$B$14/100)</f>
        <v>24432.4</v>
      </c>
      <c r="I409" s="9" t="n">
        <f aca="false">H409-$C409</f>
        <v>24432.4</v>
      </c>
      <c r="J409" s="9" t="n">
        <f aca="false">J408+I409</f>
        <v>9487681.08000007</v>
      </c>
      <c r="K409" s="37" t="str">
        <f aca="false">IF(AND(J408&lt;0,J409&gt;=0,A409&lt;=MAX(120,Premissas!$B$15*12)),(A409-1)+(-J408)/I409,"")</f>
        <v/>
      </c>
      <c r="L409" s="9" t="n">
        <f aca="false">Resultados!$E$39*$B409-Resultados!$F$39*$B409-Premissas!$B$24-Resultados!$E$39*$B409*(Premissas!$B$14/100)</f>
        <v>29837.8</v>
      </c>
      <c r="M409" s="9" t="n">
        <f aca="false">L409-$C409</f>
        <v>29837.8</v>
      </c>
      <c r="N409" s="9" t="n">
        <f aca="false">N408+M409</f>
        <v>11659030.26</v>
      </c>
      <c r="O409" s="37" t="str">
        <f aca="false">IF(AND(N408&lt;0,N409&gt;=0,A409&lt;=MAX(120,Premissas!$B$15*12)),(A409-1)+(-N408)/M409,"")</f>
        <v/>
      </c>
      <c r="P409" s="9" t="n">
        <f aca="false">Resultados!$B$19*$B409-Resultados!$B$20*$B409-Premissas!$B$24-Resultados!$B$19*$B409*(Premissas!$B$14/100)</f>
        <v>24432.4</v>
      </c>
      <c r="Q409" s="9" t="n">
        <f aca="false">P409-$C409</f>
        <v>24432.4</v>
      </c>
      <c r="R409" s="9" t="n">
        <f aca="false">R408+Q409</f>
        <v>9487681.08000007</v>
      </c>
      <c r="S409" s="37" t="str">
        <f aca="false">IF(AND(R408&lt;0,R409&gt;=0,A409&lt;=MAX(120,Premissas!$B$15*12)),(A409-1)+(-R408)/Q409,"")</f>
        <v/>
      </c>
    </row>
    <row r="410" customFormat="false" ht="15" hidden="false" customHeight="false" outlineLevel="0" collapsed="false">
      <c r="A410" s="10" t="n">
        <f aca="false">A409+1</f>
        <v>406</v>
      </c>
      <c r="B410" s="36" t="n">
        <f aca="false">IF(Premissas!$B$9&lt;=1,1,MIN(1,Premissas!$B$8/100+(1-Premissas!$B$8/100)*(A410-1)/(Premissas!$B$9-1)))</f>
        <v>1</v>
      </c>
      <c r="C410" s="9" t="n">
        <f aca="false">IF(A410&lt;=Resultados!$B$9,Resultados!$B$10,0)</f>
        <v>0</v>
      </c>
      <c r="D410" s="9" t="n">
        <f aca="false">Resultados!$E$37*$B410-Resultados!$F$37*$B410-Premissas!$B$24-Resultados!$E$37*$B410*(Premissas!$B$14/100)</f>
        <v>19027</v>
      </c>
      <c r="E410" s="9" t="n">
        <f aca="false">D410-$C410</f>
        <v>19027</v>
      </c>
      <c r="F410" s="9" t="n">
        <f aca="false">F409+E410</f>
        <v>7335358.9</v>
      </c>
      <c r="G410" s="37" t="str">
        <f aca="false">IF(AND(F409&lt;0,F410&gt;=0,A410&lt;=MAX(120,Premissas!$B$15*12)),(A410-1)+(-F409)/E410,"")</f>
        <v/>
      </c>
      <c r="H410" s="9" t="n">
        <f aca="false">Resultados!$E$38*$B410-Resultados!$F$38*$B410-Premissas!$B$24-Resultados!$E$38*$B410*(Premissas!$B$14/100)</f>
        <v>24432.4</v>
      </c>
      <c r="I410" s="9" t="n">
        <f aca="false">H410-$C410</f>
        <v>24432.4</v>
      </c>
      <c r="J410" s="9" t="n">
        <f aca="false">J409+I410</f>
        <v>9512113.48000007</v>
      </c>
      <c r="K410" s="37" t="str">
        <f aca="false">IF(AND(J409&lt;0,J410&gt;=0,A410&lt;=MAX(120,Premissas!$B$15*12)),(A410-1)+(-J409)/I410,"")</f>
        <v/>
      </c>
      <c r="L410" s="9" t="n">
        <f aca="false">Resultados!$E$39*$B410-Resultados!$F$39*$B410-Premissas!$B$24-Resultados!$E$39*$B410*(Premissas!$B$14/100)</f>
        <v>29837.8</v>
      </c>
      <c r="M410" s="9" t="n">
        <f aca="false">L410-$C410</f>
        <v>29837.8</v>
      </c>
      <c r="N410" s="9" t="n">
        <f aca="false">N409+M410</f>
        <v>11688868.06</v>
      </c>
      <c r="O410" s="37" t="str">
        <f aca="false">IF(AND(N409&lt;0,N410&gt;=0,A410&lt;=MAX(120,Premissas!$B$15*12)),(A410-1)+(-N409)/M410,"")</f>
        <v/>
      </c>
      <c r="P410" s="9" t="n">
        <f aca="false">Resultados!$B$19*$B410-Resultados!$B$20*$B410-Premissas!$B$24-Resultados!$B$19*$B410*(Premissas!$B$14/100)</f>
        <v>24432.4</v>
      </c>
      <c r="Q410" s="9" t="n">
        <f aca="false">P410-$C410</f>
        <v>24432.4</v>
      </c>
      <c r="R410" s="9" t="n">
        <f aca="false">R409+Q410</f>
        <v>9512113.48000007</v>
      </c>
      <c r="S410" s="37" t="str">
        <f aca="false">IF(AND(R409&lt;0,R410&gt;=0,A410&lt;=MAX(120,Premissas!$B$15*12)),(A410-1)+(-R409)/Q410,"")</f>
        <v/>
      </c>
    </row>
    <row r="411" customFormat="false" ht="15" hidden="false" customHeight="false" outlineLevel="0" collapsed="false">
      <c r="A411" s="10" t="n">
        <f aca="false">A410+1</f>
        <v>407</v>
      </c>
      <c r="B411" s="36" t="n">
        <f aca="false">IF(Premissas!$B$9&lt;=1,1,MIN(1,Premissas!$B$8/100+(1-Premissas!$B$8/100)*(A411-1)/(Premissas!$B$9-1)))</f>
        <v>1</v>
      </c>
      <c r="C411" s="9" t="n">
        <f aca="false">IF(A411&lt;=Resultados!$B$9,Resultados!$B$10,0)</f>
        <v>0</v>
      </c>
      <c r="D411" s="9" t="n">
        <f aca="false">Resultados!$E$37*$B411-Resultados!$F$37*$B411-Premissas!$B$24-Resultados!$E$37*$B411*(Premissas!$B$14/100)</f>
        <v>19027</v>
      </c>
      <c r="E411" s="9" t="n">
        <f aca="false">D411-$C411</f>
        <v>19027</v>
      </c>
      <c r="F411" s="9" t="n">
        <f aca="false">F410+E411</f>
        <v>7354385.9</v>
      </c>
      <c r="G411" s="37" t="str">
        <f aca="false">IF(AND(F410&lt;0,F411&gt;=0,A411&lt;=MAX(120,Premissas!$B$15*12)),(A411-1)+(-F410)/E411,"")</f>
        <v/>
      </c>
      <c r="H411" s="9" t="n">
        <f aca="false">Resultados!$E$38*$B411-Resultados!$F$38*$B411-Premissas!$B$24-Resultados!$E$38*$B411*(Premissas!$B$14/100)</f>
        <v>24432.4</v>
      </c>
      <c r="I411" s="9" t="n">
        <f aca="false">H411-$C411</f>
        <v>24432.4</v>
      </c>
      <c r="J411" s="9" t="n">
        <f aca="false">J410+I411</f>
        <v>9536545.88000007</v>
      </c>
      <c r="K411" s="37" t="str">
        <f aca="false">IF(AND(J410&lt;0,J411&gt;=0,A411&lt;=MAX(120,Premissas!$B$15*12)),(A411-1)+(-J410)/I411,"")</f>
        <v/>
      </c>
      <c r="L411" s="9" t="n">
        <f aca="false">Resultados!$E$39*$B411-Resultados!$F$39*$B411-Premissas!$B$24-Resultados!$E$39*$B411*(Premissas!$B$14/100)</f>
        <v>29837.8</v>
      </c>
      <c r="M411" s="9" t="n">
        <f aca="false">L411-$C411</f>
        <v>29837.8</v>
      </c>
      <c r="N411" s="9" t="n">
        <f aca="false">N410+M411</f>
        <v>11718705.86</v>
      </c>
      <c r="O411" s="37" t="str">
        <f aca="false">IF(AND(N410&lt;0,N411&gt;=0,A411&lt;=MAX(120,Premissas!$B$15*12)),(A411-1)+(-N410)/M411,"")</f>
        <v/>
      </c>
      <c r="P411" s="9" t="n">
        <f aca="false">Resultados!$B$19*$B411-Resultados!$B$20*$B411-Premissas!$B$24-Resultados!$B$19*$B411*(Premissas!$B$14/100)</f>
        <v>24432.4</v>
      </c>
      <c r="Q411" s="9" t="n">
        <f aca="false">P411-$C411</f>
        <v>24432.4</v>
      </c>
      <c r="R411" s="9" t="n">
        <f aca="false">R410+Q411</f>
        <v>9536545.88000007</v>
      </c>
      <c r="S411" s="37" t="str">
        <f aca="false">IF(AND(R410&lt;0,R411&gt;=0,A411&lt;=MAX(120,Premissas!$B$15*12)),(A411-1)+(-R410)/Q411,"")</f>
        <v/>
      </c>
    </row>
    <row r="412" customFormat="false" ht="15" hidden="false" customHeight="false" outlineLevel="0" collapsed="false">
      <c r="A412" s="10" t="n">
        <f aca="false">A411+1</f>
        <v>408</v>
      </c>
      <c r="B412" s="36" t="n">
        <f aca="false">IF(Premissas!$B$9&lt;=1,1,MIN(1,Premissas!$B$8/100+(1-Premissas!$B$8/100)*(A412-1)/(Premissas!$B$9-1)))</f>
        <v>1</v>
      </c>
      <c r="C412" s="9" t="n">
        <f aca="false">IF(A412&lt;=Resultados!$B$9,Resultados!$B$10,0)</f>
        <v>0</v>
      </c>
      <c r="D412" s="9" t="n">
        <f aca="false">Resultados!$E$37*$B412-Resultados!$F$37*$B412-Premissas!$B$24-Resultados!$E$37*$B412*(Premissas!$B$14/100)</f>
        <v>19027</v>
      </c>
      <c r="E412" s="9" t="n">
        <f aca="false">D412-$C412</f>
        <v>19027</v>
      </c>
      <c r="F412" s="9" t="n">
        <f aca="false">F411+E412</f>
        <v>7373412.9</v>
      </c>
      <c r="G412" s="37" t="str">
        <f aca="false">IF(AND(F411&lt;0,F412&gt;=0,A412&lt;=MAX(120,Premissas!$B$15*12)),(A412-1)+(-F411)/E412,"")</f>
        <v/>
      </c>
      <c r="H412" s="9" t="n">
        <f aca="false">Resultados!$E$38*$B412-Resultados!$F$38*$B412-Premissas!$B$24-Resultados!$E$38*$B412*(Premissas!$B$14/100)</f>
        <v>24432.4</v>
      </c>
      <c r="I412" s="9" t="n">
        <f aca="false">H412-$C412</f>
        <v>24432.4</v>
      </c>
      <c r="J412" s="9" t="n">
        <f aca="false">J411+I412</f>
        <v>9560978.28000007</v>
      </c>
      <c r="K412" s="37" t="str">
        <f aca="false">IF(AND(J411&lt;0,J412&gt;=0,A412&lt;=MAX(120,Premissas!$B$15*12)),(A412-1)+(-J411)/I412,"")</f>
        <v/>
      </c>
      <c r="L412" s="9" t="n">
        <f aca="false">Resultados!$E$39*$B412-Resultados!$F$39*$B412-Premissas!$B$24-Resultados!$E$39*$B412*(Premissas!$B$14/100)</f>
        <v>29837.8</v>
      </c>
      <c r="M412" s="9" t="n">
        <f aca="false">L412-$C412</f>
        <v>29837.8</v>
      </c>
      <c r="N412" s="9" t="n">
        <f aca="false">N411+M412</f>
        <v>11748543.66</v>
      </c>
      <c r="O412" s="37" t="str">
        <f aca="false">IF(AND(N411&lt;0,N412&gt;=0,A412&lt;=MAX(120,Premissas!$B$15*12)),(A412-1)+(-N411)/M412,"")</f>
        <v/>
      </c>
      <c r="P412" s="9" t="n">
        <f aca="false">Resultados!$B$19*$B412-Resultados!$B$20*$B412-Premissas!$B$24-Resultados!$B$19*$B412*(Premissas!$B$14/100)</f>
        <v>24432.4</v>
      </c>
      <c r="Q412" s="9" t="n">
        <f aca="false">P412-$C412</f>
        <v>24432.4</v>
      </c>
      <c r="R412" s="9" t="n">
        <f aca="false">R411+Q412</f>
        <v>9560978.28000007</v>
      </c>
      <c r="S412" s="37" t="str">
        <f aca="false">IF(AND(R411&lt;0,R412&gt;=0,A412&lt;=MAX(120,Premissas!$B$15*12)),(A412-1)+(-R411)/Q412,"")</f>
        <v/>
      </c>
    </row>
    <row r="413" customFormat="false" ht="15" hidden="false" customHeight="false" outlineLevel="0" collapsed="false">
      <c r="A413" s="10" t="n">
        <f aca="false">A412+1</f>
        <v>409</v>
      </c>
      <c r="B413" s="36" t="n">
        <f aca="false">IF(Premissas!$B$9&lt;=1,1,MIN(1,Premissas!$B$8/100+(1-Premissas!$B$8/100)*(A413-1)/(Premissas!$B$9-1)))</f>
        <v>1</v>
      </c>
      <c r="C413" s="9" t="n">
        <f aca="false">IF(A413&lt;=Resultados!$B$9,Resultados!$B$10,0)</f>
        <v>0</v>
      </c>
      <c r="D413" s="9" t="n">
        <f aca="false">Resultados!$E$37*$B413-Resultados!$F$37*$B413-Premissas!$B$24-Resultados!$E$37*$B413*(Premissas!$B$14/100)</f>
        <v>19027</v>
      </c>
      <c r="E413" s="9" t="n">
        <f aca="false">D413-$C413</f>
        <v>19027</v>
      </c>
      <c r="F413" s="9" t="n">
        <f aca="false">F412+E413</f>
        <v>7392439.9</v>
      </c>
      <c r="G413" s="37" t="str">
        <f aca="false">IF(AND(F412&lt;0,F413&gt;=0,A413&lt;=MAX(120,Premissas!$B$15*12)),(A413-1)+(-F412)/E413,"")</f>
        <v/>
      </c>
      <c r="H413" s="9" t="n">
        <f aca="false">Resultados!$E$38*$B413-Resultados!$F$38*$B413-Premissas!$B$24-Resultados!$E$38*$B413*(Premissas!$B$14/100)</f>
        <v>24432.4</v>
      </c>
      <c r="I413" s="9" t="n">
        <f aca="false">H413-$C413</f>
        <v>24432.4</v>
      </c>
      <c r="J413" s="9" t="n">
        <f aca="false">J412+I413</f>
        <v>9585410.68000007</v>
      </c>
      <c r="K413" s="37" t="str">
        <f aca="false">IF(AND(J412&lt;0,J413&gt;=0,A413&lt;=MAX(120,Premissas!$B$15*12)),(A413-1)+(-J412)/I413,"")</f>
        <v/>
      </c>
      <c r="L413" s="9" t="n">
        <f aca="false">Resultados!$E$39*$B413-Resultados!$F$39*$B413-Premissas!$B$24-Resultados!$E$39*$B413*(Premissas!$B$14/100)</f>
        <v>29837.8</v>
      </c>
      <c r="M413" s="9" t="n">
        <f aca="false">L413-$C413</f>
        <v>29837.8</v>
      </c>
      <c r="N413" s="9" t="n">
        <f aca="false">N412+M413</f>
        <v>11778381.46</v>
      </c>
      <c r="O413" s="37" t="str">
        <f aca="false">IF(AND(N412&lt;0,N413&gt;=0,A413&lt;=MAX(120,Premissas!$B$15*12)),(A413-1)+(-N412)/M413,"")</f>
        <v/>
      </c>
      <c r="P413" s="9" t="n">
        <f aca="false">Resultados!$B$19*$B413-Resultados!$B$20*$B413-Premissas!$B$24-Resultados!$B$19*$B413*(Premissas!$B$14/100)</f>
        <v>24432.4</v>
      </c>
      <c r="Q413" s="9" t="n">
        <f aca="false">P413-$C413</f>
        <v>24432.4</v>
      </c>
      <c r="R413" s="9" t="n">
        <f aca="false">R412+Q413</f>
        <v>9585410.68000007</v>
      </c>
      <c r="S413" s="37" t="str">
        <f aca="false">IF(AND(R412&lt;0,R413&gt;=0,A413&lt;=MAX(120,Premissas!$B$15*12)),(A413-1)+(-R412)/Q413,"")</f>
        <v/>
      </c>
    </row>
    <row r="414" customFormat="false" ht="15" hidden="false" customHeight="false" outlineLevel="0" collapsed="false">
      <c r="A414" s="10" t="n">
        <f aca="false">A413+1</f>
        <v>410</v>
      </c>
      <c r="B414" s="36" t="n">
        <f aca="false">IF(Premissas!$B$9&lt;=1,1,MIN(1,Premissas!$B$8/100+(1-Premissas!$B$8/100)*(A414-1)/(Premissas!$B$9-1)))</f>
        <v>1</v>
      </c>
      <c r="C414" s="9" t="n">
        <f aca="false">IF(A414&lt;=Resultados!$B$9,Resultados!$B$10,0)</f>
        <v>0</v>
      </c>
      <c r="D414" s="9" t="n">
        <f aca="false">Resultados!$E$37*$B414-Resultados!$F$37*$B414-Premissas!$B$24-Resultados!$E$37*$B414*(Premissas!$B$14/100)</f>
        <v>19027</v>
      </c>
      <c r="E414" s="9" t="n">
        <f aca="false">D414-$C414</f>
        <v>19027</v>
      </c>
      <c r="F414" s="9" t="n">
        <f aca="false">F413+E414</f>
        <v>7411466.9</v>
      </c>
      <c r="G414" s="37" t="str">
        <f aca="false">IF(AND(F413&lt;0,F414&gt;=0,A414&lt;=MAX(120,Premissas!$B$15*12)),(A414-1)+(-F413)/E414,"")</f>
        <v/>
      </c>
      <c r="H414" s="9" t="n">
        <f aca="false">Resultados!$E$38*$B414-Resultados!$F$38*$B414-Premissas!$B$24-Resultados!$E$38*$B414*(Premissas!$B$14/100)</f>
        <v>24432.4</v>
      </c>
      <c r="I414" s="9" t="n">
        <f aca="false">H414-$C414</f>
        <v>24432.4</v>
      </c>
      <c r="J414" s="9" t="n">
        <f aca="false">J413+I414</f>
        <v>9609843.08000007</v>
      </c>
      <c r="K414" s="37" t="str">
        <f aca="false">IF(AND(J413&lt;0,J414&gt;=0,A414&lt;=MAX(120,Premissas!$B$15*12)),(A414-1)+(-J413)/I414,"")</f>
        <v/>
      </c>
      <c r="L414" s="9" t="n">
        <f aca="false">Resultados!$E$39*$B414-Resultados!$F$39*$B414-Premissas!$B$24-Resultados!$E$39*$B414*(Premissas!$B$14/100)</f>
        <v>29837.8</v>
      </c>
      <c r="M414" s="9" t="n">
        <f aca="false">L414-$C414</f>
        <v>29837.8</v>
      </c>
      <c r="N414" s="9" t="n">
        <f aca="false">N413+M414</f>
        <v>11808219.26</v>
      </c>
      <c r="O414" s="37" t="str">
        <f aca="false">IF(AND(N413&lt;0,N414&gt;=0,A414&lt;=MAX(120,Premissas!$B$15*12)),(A414-1)+(-N413)/M414,"")</f>
        <v/>
      </c>
      <c r="P414" s="9" t="n">
        <f aca="false">Resultados!$B$19*$B414-Resultados!$B$20*$B414-Premissas!$B$24-Resultados!$B$19*$B414*(Premissas!$B$14/100)</f>
        <v>24432.4</v>
      </c>
      <c r="Q414" s="9" t="n">
        <f aca="false">P414-$C414</f>
        <v>24432.4</v>
      </c>
      <c r="R414" s="9" t="n">
        <f aca="false">R413+Q414</f>
        <v>9609843.08000007</v>
      </c>
      <c r="S414" s="37" t="str">
        <f aca="false">IF(AND(R413&lt;0,R414&gt;=0,A414&lt;=MAX(120,Premissas!$B$15*12)),(A414-1)+(-R413)/Q414,"")</f>
        <v/>
      </c>
    </row>
    <row r="415" customFormat="false" ht="15" hidden="false" customHeight="false" outlineLevel="0" collapsed="false">
      <c r="A415" s="10" t="n">
        <f aca="false">A414+1</f>
        <v>411</v>
      </c>
      <c r="B415" s="36" t="n">
        <f aca="false">IF(Premissas!$B$9&lt;=1,1,MIN(1,Premissas!$B$8/100+(1-Premissas!$B$8/100)*(A415-1)/(Premissas!$B$9-1)))</f>
        <v>1</v>
      </c>
      <c r="C415" s="9" t="n">
        <f aca="false">IF(A415&lt;=Resultados!$B$9,Resultados!$B$10,0)</f>
        <v>0</v>
      </c>
      <c r="D415" s="9" t="n">
        <f aca="false">Resultados!$E$37*$B415-Resultados!$F$37*$B415-Premissas!$B$24-Resultados!$E$37*$B415*(Premissas!$B$14/100)</f>
        <v>19027</v>
      </c>
      <c r="E415" s="9" t="n">
        <f aca="false">D415-$C415</f>
        <v>19027</v>
      </c>
      <c r="F415" s="9" t="n">
        <f aca="false">F414+E415</f>
        <v>7430493.9</v>
      </c>
      <c r="G415" s="37" t="str">
        <f aca="false">IF(AND(F414&lt;0,F415&gt;=0,A415&lt;=MAX(120,Premissas!$B$15*12)),(A415-1)+(-F414)/E415,"")</f>
        <v/>
      </c>
      <c r="H415" s="9" t="n">
        <f aca="false">Resultados!$E$38*$B415-Resultados!$F$38*$B415-Premissas!$B$24-Resultados!$E$38*$B415*(Premissas!$B$14/100)</f>
        <v>24432.4</v>
      </c>
      <c r="I415" s="9" t="n">
        <f aca="false">H415-$C415</f>
        <v>24432.4</v>
      </c>
      <c r="J415" s="9" t="n">
        <f aca="false">J414+I415</f>
        <v>9634275.48000007</v>
      </c>
      <c r="K415" s="37" t="str">
        <f aca="false">IF(AND(J414&lt;0,J415&gt;=0,A415&lt;=MAX(120,Premissas!$B$15*12)),(A415-1)+(-J414)/I415,"")</f>
        <v/>
      </c>
      <c r="L415" s="9" t="n">
        <f aca="false">Resultados!$E$39*$B415-Resultados!$F$39*$B415-Premissas!$B$24-Resultados!$E$39*$B415*(Premissas!$B$14/100)</f>
        <v>29837.8</v>
      </c>
      <c r="M415" s="9" t="n">
        <f aca="false">L415-$C415</f>
        <v>29837.8</v>
      </c>
      <c r="N415" s="9" t="n">
        <f aca="false">N414+M415</f>
        <v>11838057.06</v>
      </c>
      <c r="O415" s="37" t="str">
        <f aca="false">IF(AND(N414&lt;0,N415&gt;=0,A415&lt;=MAX(120,Premissas!$B$15*12)),(A415-1)+(-N414)/M415,"")</f>
        <v/>
      </c>
      <c r="P415" s="9" t="n">
        <f aca="false">Resultados!$B$19*$B415-Resultados!$B$20*$B415-Premissas!$B$24-Resultados!$B$19*$B415*(Premissas!$B$14/100)</f>
        <v>24432.4</v>
      </c>
      <c r="Q415" s="9" t="n">
        <f aca="false">P415-$C415</f>
        <v>24432.4</v>
      </c>
      <c r="R415" s="9" t="n">
        <f aca="false">R414+Q415</f>
        <v>9634275.48000007</v>
      </c>
      <c r="S415" s="37" t="str">
        <f aca="false">IF(AND(R414&lt;0,R415&gt;=0,A415&lt;=MAX(120,Premissas!$B$15*12)),(A415-1)+(-R414)/Q415,"")</f>
        <v/>
      </c>
    </row>
    <row r="416" customFormat="false" ht="15" hidden="false" customHeight="false" outlineLevel="0" collapsed="false">
      <c r="A416" s="10" t="n">
        <f aca="false">A415+1</f>
        <v>412</v>
      </c>
      <c r="B416" s="36" t="n">
        <f aca="false">IF(Premissas!$B$9&lt;=1,1,MIN(1,Premissas!$B$8/100+(1-Premissas!$B$8/100)*(A416-1)/(Premissas!$B$9-1)))</f>
        <v>1</v>
      </c>
      <c r="C416" s="9" t="n">
        <f aca="false">IF(A416&lt;=Resultados!$B$9,Resultados!$B$10,0)</f>
        <v>0</v>
      </c>
      <c r="D416" s="9" t="n">
        <f aca="false">Resultados!$E$37*$B416-Resultados!$F$37*$B416-Premissas!$B$24-Resultados!$E$37*$B416*(Premissas!$B$14/100)</f>
        <v>19027</v>
      </c>
      <c r="E416" s="9" t="n">
        <f aca="false">D416-$C416</f>
        <v>19027</v>
      </c>
      <c r="F416" s="9" t="n">
        <f aca="false">F415+E416</f>
        <v>7449520.9</v>
      </c>
      <c r="G416" s="37" t="str">
        <f aca="false">IF(AND(F415&lt;0,F416&gt;=0,A416&lt;=MAX(120,Premissas!$B$15*12)),(A416-1)+(-F415)/E416,"")</f>
        <v/>
      </c>
      <c r="H416" s="9" t="n">
        <f aca="false">Resultados!$E$38*$B416-Resultados!$F$38*$B416-Premissas!$B$24-Resultados!$E$38*$B416*(Premissas!$B$14/100)</f>
        <v>24432.4</v>
      </c>
      <c r="I416" s="9" t="n">
        <f aca="false">H416-$C416</f>
        <v>24432.4</v>
      </c>
      <c r="J416" s="9" t="n">
        <f aca="false">J415+I416</f>
        <v>9658707.88000007</v>
      </c>
      <c r="K416" s="37" t="str">
        <f aca="false">IF(AND(J415&lt;0,J416&gt;=0,A416&lt;=MAX(120,Premissas!$B$15*12)),(A416-1)+(-J415)/I416,"")</f>
        <v/>
      </c>
      <c r="L416" s="9" t="n">
        <f aca="false">Resultados!$E$39*$B416-Resultados!$F$39*$B416-Premissas!$B$24-Resultados!$E$39*$B416*(Premissas!$B$14/100)</f>
        <v>29837.8</v>
      </c>
      <c r="M416" s="9" t="n">
        <f aca="false">L416-$C416</f>
        <v>29837.8</v>
      </c>
      <c r="N416" s="9" t="n">
        <f aca="false">N415+M416</f>
        <v>11867894.8600001</v>
      </c>
      <c r="O416" s="37" t="str">
        <f aca="false">IF(AND(N415&lt;0,N416&gt;=0,A416&lt;=MAX(120,Premissas!$B$15*12)),(A416-1)+(-N415)/M416,"")</f>
        <v/>
      </c>
      <c r="P416" s="9" t="n">
        <f aca="false">Resultados!$B$19*$B416-Resultados!$B$20*$B416-Premissas!$B$24-Resultados!$B$19*$B416*(Premissas!$B$14/100)</f>
        <v>24432.4</v>
      </c>
      <c r="Q416" s="9" t="n">
        <f aca="false">P416-$C416</f>
        <v>24432.4</v>
      </c>
      <c r="R416" s="9" t="n">
        <f aca="false">R415+Q416</f>
        <v>9658707.88000007</v>
      </c>
      <c r="S416" s="37" t="str">
        <f aca="false">IF(AND(R415&lt;0,R416&gt;=0,A416&lt;=MAX(120,Premissas!$B$15*12)),(A416-1)+(-R415)/Q416,"")</f>
        <v/>
      </c>
    </row>
    <row r="417" customFormat="false" ht="15" hidden="false" customHeight="false" outlineLevel="0" collapsed="false">
      <c r="A417" s="10" t="n">
        <f aca="false">A416+1</f>
        <v>413</v>
      </c>
      <c r="B417" s="36" t="n">
        <f aca="false">IF(Premissas!$B$9&lt;=1,1,MIN(1,Premissas!$B$8/100+(1-Premissas!$B$8/100)*(A417-1)/(Premissas!$B$9-1)))</f>
        <v>1</v>
      </c>
      <c r="C417" s="9" t="n">
        <f aca="false">IF(A417&lt;=Resultados!$B$9,Resultados!$B$10,0)</f>
        <v>0</v>
      </c>
      <c r="D417" s="9" t="n">
        <f aca="false">Resultados!$E$37*$B417-Resultados!$F$37*$B417-Premissas!$B$24-Resultados!$E$37*$B417*(Premissas!$B$14/100)</f>
        <v>19027</v>
      </c>
      <c r="E417" s="9" t="n">
        <f aca="false">D417-$C417</f>
        <v>19027</v>
      </c>
      <c r="F417" s="9" t="n">
        <f aca="false">F416+E417</f>
        <v>7468547.9</v>
      </c>
      <c r="G417" s="37" t="str">
        <f aca="false">IF(AND(F416&lt;0,F417&gt;=0,A417&lt;=MAX(120,Premissas!$B$15*12)),(A417-1)+(-F416)/E417,"")</f>
        <v/>
      </c>
      <c r="H417" s="9" t="n">
        <f aca="false">Resultados!$E$38*$B417-Resultados!$F$38*$B417-Premissas!$B$24-Resultados!$E$38*$B417*(Premissas!$B$14/100)</f>
        <v>24432.4</v>
      </c>
      <c r="I417" s="9" t="n">
        <f aca="false">H417-$C417</f>
        <v>24432.4</v>
      </c>
      <c r="J417" s="9" t="n">
        <f aca="false">J416+I417</f>
        <v>9683140.28000007</v>
      </c>
      <c r="K417" s="37" t="str">
        <f aca="false">IF(AND(J416&lt;0,J417&gt;=0,A417&lt;=MAX(120,Premissas!$B$15*12)),(A417-1)+(-J416)/I417,"")</f>
        <v/>
      </c>
      <c r="L417" s="9" t="n">
        <f aca="false">Resultados!$E$39*$B417-Resultados!$F$39*$B417-Premissas!$B$24-Resultados!$E$39*$B417*(Premissas!$B$14/100)</f>
        <v>29837.8</v>
      </c>
      <c r="M417" s="9" t="n">
        <f aca="false">L417-$C417</f>
        <v>29837.8</v>
      </c>
      <c r="N417" s="9" t="n">
        <f aca="false">N416+M417</f>
        <v>11897732.6600001</v>
      </c>
      <c r="O417" s="37" t="str">
        <f aca="false">IF(AND(N416&lt;0,N417&gt;=0,A417&lt;=MAX(120,Premissas!$B$15*12)),(A417-1)+(-N416)/M417,"")</f>
        <v/>
      </c>
      <c r="P417" s="9" t="n">
        <f aca="false">Resultados!$B$19*$B417-Resultados!$B$20*$B417-Premissas!$B$24-Resultados!$B$19*$B417*(Premissas!$B$14/100)</f>
        <v>24432.4</v>
      </c>
      <c r="Q417" s="9" t="n">
        <f aca="false">P417-$C417</f>
        <v>24432.4</v>
      </c>
      <c r="R417" s="9" t="n">
        <f aca="false">R416+Q417</f>
        <v>9683140.28000007</v>
      </c>
      <c r="S417" s="37" t="str">
        <f aca="false">IF(AND(R416&lt;0,R417&gt;=0,A417&lt;=MAX(120,Premissas!$B$15*12)),(A417-1)+(-R416)/Q417,"")</f>
        <v/>
      </c>
    </row>
    <row r="418" customFormat="false" ht="15" hidden="false" customHeight="false" outlineLevel="0" collapsed="false">
      <c r="A418" s="10" t="n">
        <f aca="false">A417+1</f>
        <v>414</v>
      </c>
      <c r="B418" s="36" t="n">
        <f aca="false">IF(Premissas!$B$9&lt;=1,1,MIN(1,Premissas!$B$8/100+(1-Premissas!$B$8/100)*(A418-1)/(Premissas!$B$9-1)))</f>
        <v>1</v>
      </c>
      <c r="C418" s="9" t="n">
        <f aca="false">IF(A418&lt;=Resultados!$B$9,Resultados!$B$10,0)</f>
        <v>0</v>
      </c>
      <c r="D418" s="9" t="n">
        <f aca="false">Resultados!$E$37*$B418-Resultados!$F$37*$B418-Premissas!$B$24-Resultados!$E$37*$B418*(Premissas!$B$14/100)</f>
        <v>19027</v>
      </c>
      <c r="E418" s="9" t="n">
        <f aca="false">D418-$C418</f>
        <v>19027</v>
      </c>
      <c r="F418" s="9" t="n">
        <f aca="false">F417+E418</f>
        <v>7487574.9</v>
      </c>
      <c r="G418" s="37" t="str">
        <f aca="false">IF(AND(F417&lt;0,F418&gt;=0,A418&lt;=MAX(120,Premissas!$B$15*12)),(A418-1)+(-F417)/E418,"")</f>
        <v/>
      </c>
      <c r="H418" s="9" t="n">
        <f aca="false">Resultados!$E$38*$B418-Resultados!$F$38*$B418-Premissas!$B$24-Resultados!$E$38*$B418*(Premissas!$B$14/100)</f>
        <v>24432.4</v>
      </c>
      <c r="I418" s="9" t="n">
        <f aca="false">H418-$C418</f>
        <v>24432.4</v>
      </c>
      <c r="J418" s="9" t="n">
        <f aca="false">J417+I418</f>
        <v>9707572.68000007</v>
      </c>
      <c r="K418" s="37" t="str">
        <f aca="false">IF(AND(J417&lt;0,J418&gt;=0,A418&lt;=MAX(120,Premissas!$B$15*12)),(A418-1)+(-J417)/I418,"")</f>
        <v/>
      </c>
      <c r="L418" s="9" t="n">
        <f aca="false">Resultados!$E$39*$B418-Resultados!$F$39*$B418-Premissas!$B$24-Resultados!$E$39*$B418*(Premissas!$B$14/100)</f>
        <v>29837.8</v>
      </c>
      <c r="M418" s="9" t="n">
        <f aca="false">L418-$C418</f>
        <v>29837.8</v>
      </c>
      <c r="N418" s="9" t="n">
        <f aca="false">N417+M418</f>
        <v>11927570.4600001</v>
      </c>
      <c r="O418" s="37" t="str">
        <f aca="false">IF(AND(N417&lt;0,N418&gt;=0,A418&lt;=MAX(120,Premissas!$B$15*12)),(A418-1)+(-N417)/M418,"")</f>
        <v/>
      </c>
      <c r="P418" s="9" t="n">
        <f aca="false">Resultados!$B$19*$B418-Resultados!$B$20*$B418-Premissas!$B$24-Resultados!$B$19*$B418*(Premissas!$B$14/100)</f>
        <v>24432.4</v>
      </c>
      <c r="Q418" s="9" t="n">
        <f aca="false">P418-$C418</f>
        <v>24432.4</v>
      </c>
      <c r="R418" s="9" t="n">
        <f aca="false">R417+Q418</f>
        <v>9707572.68000007</v>
      </c>
      <c r="S418" s="37" t="str">
        <f aca="false">IF(AND(R417&lt;0,R418&gt;=0,A418&lt;=MAX(120,Premissas!$B$15*12)),(A418-1)+(-R417)/Q418,"")</f>
        <v/>
      </c>
    </row>
    <row r="419" customFormat="false" ht="15" hidden="false" customHeight="false" outlineLevel="0" collapsed="false">
      <c r="A419" s="10" t="n">
        <f aca="false">A418+1</f>
        <v>415</v>
      </c>
      <c r="B419" s="36" t="n">
        <f aca="false">IF(Premissas!$B$9&lt;=1,1,MIN(1,Premissas!$B$8/100+(1-Premissas!$B$8/100)*(A419-1)/(Premissas!$B$9-1)))</f>
        <v>1</v>
      </c>
      <c r="C419" s="9" t="n">
        <f aca="false">IF(A419&lt;=Resultados!$B$9,Resultados!$B$10,0)</f>
        <v>0</v>
      </c>
      <c r="D419" s="9" t="n">
        <f aca="false">Resultados!$E$37*$B419-Resultados!$F$37*$B419-Premissas!$B$24-Resultados!$E$37*$B419*(Premissas!$B$14/100)</f>
        <v>19027</v>
      </c>
      <c r="E419" s="9" t="n">
        <f aca="false">D419-$C419</f>
        <v>19027</v>
      </c>
      <c r="F419" s="9" t="n">
        <f aca="false">F418+E419</f>
        <v>7506601.9</v>
      </c>
      <c r="G419" s="37" t="str">
        <f aca="false">IF(AND(F418&lt;0,F419&gt;=0,A419&lt;=MAX(120,Premissas!$B$15*12)),(A419-1)+(-F418)/E419,"")</f>
        <v/>
      </c>
      <c r="H419" s="9" t="n">
        <f aca="false">Resultados!$E$38*$B419-Resultados!$F$38*$B419-Premissas!$B$24-Resultados!$E$38*$B419*(Premissas!$B$14/100)</f>
        <v>24432.4</v>
      </c>
      <c r="I419" s="9" t="n">
        <f aca="false">H419-$C419</f>
        <v>24432.4</v>
      </c>
      <c r="J419" s="9" t="n">
        <f aca="false">J418+I419</f>
        <v>9732005.08000007</v>
      </c>
      <c r="K419" s="37" t="str">
        <f aca="false">IF(AND(J418&lt;0,J419&gt;=0,A419&lt;=MAX(120,Premissas!$B$15*12)),(A419-1)+(-J418)/I419,"")</f>
        <v/>
      </c>
      <c r="L419" s="9" t="n">
        <f aca="false">Resultados!$E$39*$B419-Resultados!$F$39*$B419-Premissas!$B$24-Resultados!$E$39*$B419*(Premissas!$B$14/100)</f>
        <v>29837.8</v>
      </c>
      <c r="M419" s="9" t="n">
        <f aca="false">L419-$C419</f>
        <v>29837.8</v>
      </c>
      <c r="N419" s="9" t="n">
        <f aca="false">N418+M419</f>
        <v>11957408.2600001</v>
      </c>
      <c r="O419" s="37" t="str">
        <f aca="false">IF(AND(N418&lt;0,N419&gt;=0,A419&lt;=MAX(120,Premissas!$B$15*12)),(A419-1)+(-N418)/M419,"")</f>
        <v/>
      </c>
      <c r="P419" s="9" t="n">
        <f aca="false">Resultados!$B$19*$B419-Resultados!$B$20*$B419-Premissas!$B$24-Resultados!$B$19*$B419*(Premissas!$B$14/100)</f>
        <v>24432.4</v>
      </c>
      <c r="Q419" s="9" t="n">
        <f aca="false">P419-$C419</f>
        <v>24432.4</v>
      </c>
      <c r="R419" s="9" t="n">
        <f aca="false">R418+Q419</f>
        <v>9732005.08000007</v>
      </c>
      <c r="S419" s="37" t="str">
        <f aca="false">IF(AND(R418&lt;0,R419&gt;=0,A419&lt;=MAX(120,Premissas!$B$15*12)),(A419-1)+(-R418)/Q419,"")</f>
        <v/>
      </c>
    </row>
    <row r="420" customFormat="false" ht="15" hidden="false" customHeight="false" outlineLevel="0" collapsed="false">
      <c r="A420" s="10" t="n">
        <f aca="false">A419+1</f>
        <v>416</v>
      </c>
      <c r="B420" s="36" t="n">
        <f aca="false">IF(Premissas!$B$9&lt;=1,1,MIN(1,Premissas!$B$8/100+(1-Premissas!$B$8/100)*(A420-1)/(Premissas!$B$9-1)))</f>
        <v>1</v>
      </c>
      <c r="C420" s="9" t="n">
        <f aca="false">IF(A420&lt;=Resultados!$B$9,Resultados!$B$10,0)</f>
        <v>0</v>
      </c>
      <c r="D420" s="9" t="n">
        <f aca="false">Resultados!$E$37*$B420-Resultados!$F$37*$B420-Premissas!$B$24-Resultados!$E$37*$B420*(Premissas!$B$14/100)</f>
        <v>19027</v>
      </c>
      <c r="E420" s="9" t="n">
        <f aca="false">D420-$C420</f>
        <v>19027</v>
      </c>
      <c r="F420" s="9" t="n">
        <f aca="false">F419+E420</f>
        <v>7525628.9</v>
      </c>
      <c r="G420" s="37" t="str">
        <f aca="false">IF(AND(F419&lt;0,F420&gt;=0,A420&lt;=MAX(120,Premissas!$B$15*12)),(A420-1)+(-F419)/E420,"")</f>
        <v/>
      </c>
      <c r="H420" s="9" t="n">
        <f aca="false">Resultados!$E$38*$B420-Resultados!$F$38*$B420-Premissas!$B$24-Resultados!$E$38*$B420*(Premissas!$B$14/100)</f>
        <v>24432.4</v>
      </c>
      <c r="I420" s="9" t="n">
        <f aca="false">H420-$C420</f>
        <v>24432.4</v>
      </c>
      <c r="J420" s="9" t="n">
        <f aca="false">J419+I420</f>
        <v>9756437.48000007</v>
      </c>
      <c r="K420" s="37" t="str">
        <f aca="false">IF(AND(J419&lt;0,J420&gt;=0,A420&lt;=MAX(120,Premissas!$B$15*12)),(A420-1)+(-J419)/I420,"")</f>
        <v/>
      </c>
      <c r="L420" s="9" t="n">
        <f aca="false">Resultados!$E$39*$B420-Resultados!$F$39*$B420-Premissas!$B$24-Resultados!$E$39*$B420*(Premissas!$B$14/100)</f>
        <v>29837.8</v>
      </c>
      <c r="M420" s="9" t="n">
        <f aca="false">L420-$C420</f>
        <v>29837.8</v>
      </c>
      <c r="N420" s="9" t="n">
        <f aca="false">N419+M420</f>
        <v>11987246.0600001</v>
      </c>
      <c r="O420" s="37" t="str">
        <f aca="false">IF(AND(N419&lt;0,N420&gt;=0,A420&lt;=MAX(120,Premissas!$B$15*12)),(A420-1)+(-N419)/M420,"")</f>
        <v/>
      </c>
      <c r="P420" s="9" t="n">
        <f aca="false">Resultados!$B$19*$B420-Resultados!$B$20*$B420-Premissas!$B$24-Resultados!$B$19*$B420*(Premissas!$B$14/100)</f>
        <v>24432.4</v>
      </c>
      <c r="Q420" s="9" t="n">
        <f aca="false">P420-$C420</f>
        <v>24432.4</v>
      </c>
      <c r="R420" s="9" t="n">
        <f aca="false">R419+Q420</f>
        <v>9756437.48000007</v>
      </c>
      <c r="S420" s="37" t="str">
        <f aca="false">IF(AND(R419&lt;0,R420&gt;=0,A420&lt;=MAX(120,Premissas!$B$15*12)),(A420-1)+(-R419)/Q420,"")</f>
        <v/>
      </c>
    </row>
    <row r="421" customFormat="false" ht="15" hidden="false" customHeight="false" outlineLevel="0" collapsed="false">
      <c r="A421" s="10" t="n">
        <f aca="false">A420+1</f>
        <v>417</v>
      </c>
      <c r="B421" s="36" t="n">
        <f aca="false">IF(Premissas!$B$9&lt;=1,1,MIN(1,Premissas!$B$8/100+(1-Premissas!$B$8/100)*(A421-1)/(Premissas!$B$9-1)))</f>
        <v>1</v>
      </c>
      <c r="C421" s="9" t="n">
        <f aca="false">IF(A421&lt;=Resultados!$B$9,Resultados!$B$10,0)</f>
        <v>0</v>
      </c>
      <c r="D421" s="9" t="n">
        <f aca="false">Resultados!$E$37*$B421-Resultados!$F$37*$B421-Premissas!$B$24-Resultados!$E$37*$B421*(Premissas!$B$14/100)</f>
        <v>19027</v>
      </c>
      <c r="E421" s="9" t="n">
        <f aca="false">D421-$C421</f>
        <v>19027</v>
      </c>
      <c r="F421" s="9" t="n">
        <f aca="false">F420+E421</f>
        <v>7544655.9</v>
      </c>
      <c r="G421" s="37" t="str">
        <f aca="false">IF(AND(F420&lt;0,F421&gt;=0,A421&lt;=MAX(120,Premissas!$B$15*12)),(A421-1)+(-F420)/E421,"")</f>
        <v/>
      </c>
      <c r="H421" s="9" t="n">
        <f aca="false">Resultados!$E$38*$B421-Resultados!$F$38*$B421-Premissas!$B$24-Resultados!$E$38*$B421*(Premissas!$B$14/100)</f>
        <v>24432.4</v>
      </c>
      <c r="I421" s="9" t="n">
        <f aca="false">H421-$C421</f>
        <v>24432.4</v>
      </c>
      <c r="J421" s="9" t="n">
        <f aca="false">J420+I421</f>
        <v>9780869.88000007</v>
      </c>
      <c r="K421" s="37" t="str">
        <f aca="false">IF(AND(J420&lt;0,J421&gt;=0,A421&lt;=MAX(120,Premissas!$B$15*12)),(A421-1)+(-J420)/I421,"")</f>
        <v/>
      </c>
      <c r="L421" s="9" t="n">
        <f aca="false">Resultados!$E$39*$B421-Resultados!$F$39*$B421-Premissas!$B$24-Resultados!$E$39*$B421*(Premissas!$B$14/100)</f>
        <v>29837.8</v>
      </c>
      <c r="M421" s="9" t="n">
        <f aca="false">L421-$C421</f>
        <v>29837.8</v>
      </c>
      <c r="N421" s="9" t="n">
        <f aca="false">N420+M421</f>
        <v>12017083.8600001</v>
      </c>
      <c r="O421" s="37" t="str">
        <f aca="false">IF(AND(N420&lt;0,N421&gt;=0,A421&lt;=MAX(120,Premissas!$B$15*12)),(A421-1)+(-N420)/M421,"")</f>
        <v/>
      </c>
      <c r="P421" s="9" t="n">
        <f aca="false">Resultados!$B$19*$B421-Resultados!$B$20*$B421-Premissas!$B$24-Resultados!$B$19*$B421*(Premissas!$B$14/100)</f>
        <v>24432.4</v>
      </c>
      <c r="Q421" s="9" t="n">
        <f aca="false">P421-$C421</f>
        <v>24432.4</v>
      </c>
      <c r="R421" s="9" t="n">
        <f aca="false">R420+Q421</f>
        <v>9780869.88000007</v>
      </c>
      <c r="S421" s="37" t="str">
        <f aca="false">IF(AND(R420&lt;0,R421&gt;=0,A421&lt;=MAX(120,Premissas!$B$15*12)),(A421-1)+(-R420)/Q421,"")</f>
        <v/>
      </c>
    </row>
    <row r="422" customFormat="false" ht="15" hidden="false" customHeight="false" outlineLevel="0" collapsed="false">
      <c r="A422" s="10" t="n">
        <f aca="false">A421+1</f>
        <v>418</v>
      </c>
      <c r="B422" s="36" t="n">
        <f aca="false">IF(Premissas!$B$9&lt;=1,1,MIN(1,Premissas!$B$8/100+(1-Premissas!$B$8/100)*(A422-1)/(Premissas!$B$9-1)))</f>
        <v>1</v>
      </c>
      <c r="C422" s="9" t="n">
        <f aca="false">IF(A422&lt;=Resultados!$B$9,Resultados!$B$10,0)</f>
        <v>0</v>
      </c>
      <c r="D422" s="9" t="n">
        <f aca="false">Resultados!$E$37*$B422-Resultados!$F$37*$B422-Premissas!$B$24-Resultados!$E$37*$B422*(Premissas!$B$14/100)</f>
        <v>19027</v>
      </c>
      <c r="E422" s="9" t="n">
        <f aca="false">D422-$C422</f>
        <v>19027</v>
      </c>
      <c r="F422" s="9" t="n">
        <f aca="false">F421+E422</f>
        <v>7563682.9</v>
      </c>
      <c r="G422" s="37" t="str">
        <f aca="false">IF(AND(F421&lt;0,F422&gt;=0,A422&lt;=MAX(120,Premissas!$B$15*12)),(A422-1)+(-F421)/E422,"")</f>
        <v/>
      </c>
      <c r="H422" s="9" t="n">
        <f aca="false">Resultados!$E$38*$B422-Resultados!$F$38*$B422-Premissas!$B$24-Resultados!$E$38*$B422*(Premissas!$B$14/100)</f>
        <v>24432.4</v>
      </c>
      <c r="I422" s="9" t="n">
        <f aca="false">H422-$C422</f>
        <v>24432.4</v>
      </c>
      <c r="J422" s="9" t="n">
        <f aca="false">J421+I422</f>
        <v>9805302.28000007</v>
      </c>
      <c r="K422" s="37" t="str">
        <f aca="false">IF(AND(J421&lt;0,J422&gt;=0,A422&lt;=MAX(120,Premissas!$B$15*12)),(A422-1)+(-J421)/I422,"")</f>
        <v/>
      </c>
      <c r="L422" s="9" t="n">
        <f aca="false">Resultados!$E$39*$B422-Resultados!$F$39*$B422-Premissas!$B$24-Resultados!$E$39*$B422*(Premissas!$B$14/100)</f>
        <v>29837.8</v>
      </c>
      <c r="M422" s="9" t="n">
        <f aca="false">L422-$C422</f>
        <v>29837.8</v>
      </c>
      <c r="N422" s="9" t="n">
        <f aca="false">N421+M422</f>
        <v>12046921.6600001</v>
      </c>
      <c r="O422" s="37" t="str">
        <f aca="false">IF(AND(N421&lt;0,N422&gt;=0,A422&lt;=MAX(120,Premissas!$B$15*12)),(A422-1)+(-N421)/M422,"")</f>
        <v/>
      </c>
      <c r="P422" s="9" t="n">
        <f aca="false">Resultados!$B$19*$B422-Resultados!$B$20*$B422-Premissas!$B$24-Resultados!$B$19*$B422*(Premissas!$B$14/100)</f>
        <v>24432.4</v>
      </c>
      <c r="Q422" s="9" t="n">
        <f aca="false">P422-$C422</f>
        <v>24432.4</v>
      </c>
      <c r="R422" s="9" t="n">
        <f aca="false">R421+Q422</f>
        <v>9805302.28000007</v>
      </c>
      <c r="S422" s="37" t="str">
        <f aca="false">IF(AND(R421&lt;0,R422&gt;=0,A422&lt;=MAX(120,Premissas!$B$15*12)),(A422-1)+(-R421)/Q422,"")</f>
        <v/>
      </c>
    </row>
    <row r="423" customFormat="false" ht="15" hidden="false" customHeight="false" outlineLevel="0" collapsed="false">
      <c r="A423" s="10" t="n">
        <f aca="false">A422+1</f>
        <v>419</v>
      </c>
      <c r="B423" s="36" t="n">
        <f aca="false">IF(Premissas!$B$9&lt;=1,1,MIN(1,Premissas!$B$8/100+(1-Premissas!$B$8/100)*(A423-1)/(Premissas!$B$9-1)))</f>
        <v>1</v>
      </c>
      <c r="C423" s="9" t="n">
        <f aca="false">IF(A423&lt;=Resultados!$B$9,Resultados!$B$10,0)</f>
        <v>0</v>
      </c>
      <c r="D423" s="9" t="n">
        <f aca="false">Resultados!$E$37*$B423-Resultados!$F$37*$B423-Premissas!$B$24-Resultados!$E$37*$B423*(Premissas!$B$14/100)</f>
        <v>19027</v>
      </c>
      <c r="E423" s="9" t="n">
        <f aca="false">D423-$C423</f>
        <v>19027</v>
      </c>
      <c r="F423" s="9" t="n">
        <f aca="false">F422+E423</f>
        <v>7582709.9</v>
      </c>
      <c r="G423" s="37" t="str">
        <f aca="false">IF(AND(F422&lt;0,F423&gt;=0,A423&lt;=MAX(120,Premissas!$B$15*12)),(A423-1)+(-F422)/E423,"")</f>
        <v/>
      </c>
      <c r="H423" s="9" t="n">
        <f aca="false">Resultados!$E$38*$B423-Resultados!$F$38*$B423-Premissas!$B$24-Resultados!$E$38*$B423*(Premissas!$B$14/100)</f>
        <v>24432.4</v>
      </c>
      <c r="I423" s="9" t="n">
        <f aca="false">H423-$C423</f>
        <v>24432.4</v>
      </c>
      <c r="J423" s="9" t="n">
        <f aca="false">J422+I423</f>
        <v>9829734.68000007</v>
      </c>
      <c r="K423" s="37" t="str">
        <f aca="false">IF(AND(J422&lt;0,J423&gt;=0,A423&lt;=MAX(120,Premissas!$B$15*12)),(A423-1)+(-J422)/I423,"")</f>
        <v/>
      </c>
      <c r="L423" s="9" t="n">
        <f aca="false">Resultados!$E$39*$B423-Resultados!$F$39*$B423-Premissas!$B$24-Resultados!$E$39*$B423*(Premissas!$B$14/100)</f>
        <v>29837.8</v>
      </c>
      <c r="M423" s="9" t="n">
        <f aca="false">L423-$C423</f>
        <v>29837.8</v>
      </c>
      <c r="N423" s="9" t="n">
        <f aca="false">N422+M423</f>
        <v>12076759.4600001</v>
      </c>
      <c r="O423" s="37" t="str">
        <f aca="false">IF(AND(N422&lt;0,N423&gt;=0,A423&lt;=MAX(120,Premissas!$B$15*12)),(A423-1)+(-N422)/M423,"")</f>
        <v/>
      </c>
      <c r="P423" s="9" t="n">
        <f aca="false">Resultados!$B$19*$B423-Resultados!$B$20*$B423-Premissas!$B$24-Resultados!$B$19*$B423*(Premissas!$B$14/100)</f>
        <v>24432.4</v>
      </c>
      <c r="Q423" s="9" t="n">
        <f aca="false">P423-$C423</f>
        <v>24432.4</v>
      </c>
      <c r="R423" s="9" t="n">
        <f aca="false">R422+Q423</f>
        <v>9829734.68000007</v>
      </c>
      <c r="S423" s="37" t="str">
        <f aca="false">IF(AND(R422&lt;0,R423&gt;=0,A423&lt;=MAX(120,Premissas!$B$15*12)),(A423-1)+(-R422)/Q423,"")</f>
        <v/>
      </c>
    </row>
    <row r="424" customFormat="false" ht="15" hidden="false" customHeight="false" outlineLevel="0" collapsed="false">
      <c r="A424" s="10" t="n">
        <f aca="false">A423+1</f>
        <v>420</v>
      </c>
      <c r="B424" s="36" t="n">
        <f aca="false">IF(Premissas!$B$9&lt;=1,1,MIN(1,Premissas!$B$8/100+(1-Premissas!$B$8/100)*(A424-1)/(Premissas!$B$9-1)))</f>
        <v>1</v>
      </c>
      <c r="C424" s="9" t="n">
        <f aca="false">IF(A424&lt;=Resultados!$B$9,Resultados!$B$10,0)</f>
        <v>0</v>
      </c>
      <c r="D424" s="9" t="n">
        <f aca="false">Resultados!$E$37*$B424-Resultados!$F$37*$B424-Premissas!$B$24-Resultados!$E$37*$B424*(Premissas!$B$14/100)</f>
        <v>19027</v>
      </c>
      <c r="E424" s="9" t="n">
        <f aca="false">D424-$C424</f>
        <v>19027</v>
      </c>
      <c r="F424" s="9" t="n">
        <f aca="false">F423+E424</f>
        <v>7601736.9</v>
      </c>
      <c r="G424" s="37" t="str">
        <f aca="false">IF(AND(F423&lt;0,F424&gt;=0,A424&lt;=MAX(120,Premissas!$B$15*12)),(A424-1)+(-F423)/E424,"")</f>
        <v/>
      </c>
      <c r="H424" s="9" t="n">
        <f aca="false">Resultados!$E$38*$B424-Resultados!$F$38*$B424-Premissas!$B$24-Resultados!$E$38*$B424*(Premissas!$B$14/100)</f>
        <v>24432.4</v>
      </c>
      <c r="I424" s="9" t="n">
        <f aca="false">H424-$C424</f>
        <v>24432.4</v>
      </c>
      <c r="J424" s="9" t="n">
        <f aca="false">J423+I424</f>
        <v>9854167.08000008</v>
      </c>
      <c r="K424" s="37" t="str">
        <f aca="false">IF(AND(J423&lt;0,J424&gt;=0,A424&lt;=MAX(120,Premissas!$B$15*12)),(A424-1)+(-J423)/I424,"")</f>
        <v/>
      </c>
      <c r="L424" s="9" t="n">
        <f aca="false">Resultados!$E$39*$B424-Resultados!$F$39*$B424-Premissas!$B$24-Resultados!$E$39*$B424*(Premissas!$B$14/100)</f>
        <v>29837.8</v>
      </c>
      <c r="M424" s="9" t="n">
        <f aca="false">L424-$C424</f>
        <v>29837.8</v>
      </c>
      <c r="N424" s="9" t="n">
        <f aca="false">N423+M424</f>
        <v>12106597.2600001</v>
      </c>
      <c r="O424" s="37" t="str">
        <f aca="false">IF(AND(N423&lt;0,N424&gt;=0,A424&lt;=MAX(120,Premissas!$B$15*12)),(A424-1)+(-N423)/M424,"")</f>
        <v/>
      </c>
      <c r="P424" s="9" t="n">
        <f aca="false">Resultados!$B$19*$B424-Resultados!$B$20*$B424-Premissas!$B$24-Resultados!$B$19*$B424*(Premissas!$B$14/100)</f>
        <v>24432.4</v>
      </c>
      <c r="Q424" s="9" t="n">
        <f aca="false">P424-$C424</f>
        <v>24432.4</v>
      </c>
      <c r="R424" s="9" t="n">
        <f aca="false">R423+Q424</f>
        <v>9854167.08000008</v>
      </c>
      <c r="S424" s="37" t="str">
        <f aca="false">IF(AND(R423&lt;0,R424&gt;=0,A424&lt;=MAX(120,Premissas!$B$15*12)),(A424-1)+(-R423)/Q424,"")</f>
        <v/>
      </c>
    </row>
    <row r="425" customFormat="false" ht="15" hidden="false" customHeight="false" outlineLevel="0" collapsed="false">
      <c r="A425" s="10" t="n">
        <f aca="false">A424+1</f>
        <v>421</v>
      </c>
      <c r="B425" s="36" t="n">
        <f aca="false">IF(Premissas!$B$9&lt;=1,1,MIN(1,Premissas!$B$8/100+(1-Premissas!$B$8/100)*(A425-1)/(Premissas!$B$9-1)))</f>
        <v>1</v>
      </c>
      <c r="C425" s="9" t="n">
        <f aca="false">IF(A425&lt;=Resultados!$B$9,Resultados!$B$10,0)</f>
        <v>0</v>
      </c>
      <c r="D425" s="9" t="n">
        <f aca="false">Resultados!$E$37*$B425-Resultados!$F$37*$B425-Premissas!$B$24-Resultados!$E$37*$B425*(Premissas!$B$14/100)</f>
        <v>19027</v>
      </c>
      <c r="E425" s="9" t="n">
        <f aca="false">D425-$C425</f>
        <v>19027</v>
      </c>
      <c r="F425" s="9" t="n">
        <f aca="false">F424+E425</f>
        <v>7620763.9</v>
      </c>
      <c r="G425" s="37" t="str">
        <f aca="false">IF(AND(F424&lt;0,F425&gt;=0,A425&lt;=MAX(120,Premissas!$B$15*12)),(A425-1)+(-F424)/E425,"")</f>
        <v/>
      </c>
      <c r="H425" s="9" t="n">
        <f aca="false">Resultados!$E$38*$B425-Resultados!$F$38*$B425-Premissas!$B$24-Resultados!$E$38*$B425*(Premissas!$B$14/100)</f>
        <v>24432.4</v>
      </c>
      <c r="I425" s="9" t="n">
        <f aca="false">H425-$C425</f>
        <v>24432.4</v>
      </c>
      <c r="J425" s="9" t="n">
        <f aca="false">J424+I425</f>
        <v>9878599.48000008</v>
      </c>
      <c r="K425" s="37" t="str">
        <f aca="false">IF(AND(J424&lt;0,J425&gt;=0,A425&lt;=MAX(120,Premissas!$B$15*12)),(A425-1)+(-J424)/I425,"")</f>
        <v/>
      </c>
      <c r="L425" s="9" t="n">
        <f aca="false">Resultados!$E$39*$B425-Resultados!$F$39*$B425-Premissas!$B$24-Resultados!$E$39*$B425*(Premissas!$B$14/100)</f>
        <v>29837.8</v>
      </c>
      <c r="M425" s="9" t="n">
        <f aca="false">L425-$C425</f>
        <v>29837.8</v>
      </c>
      <c r="N425" s="9" t="n">
        <f aca="false">N424+M425</f>
        <v>12136435.0600001</v>
      </c>
      <c r="O425" s="37" t="str">
        <f aca="false">IF(AND(N424&lt;0,N425&gt;=0,A425&lt;=MAX(120,Premissas!$B$15*12)),(A425-1)+(-N424)/M425,"")</f>
        <v/>
      </c>
      <c r="P425" s="9" t="n">
        <f aca="false">Resultados!$B$19*$B425-Resultados!$B$20*$B425-Premissas!$B$24-Resultados!$B$19*$B425*(Premissas!$B$14/100)</f>
        <v>24432.4</v>
      </c>
      <c r="Q425" s="9" t="n">
        <f aca="false">P425-$C425</f>
        <v>24432.4</v>
      </c>
      <c r="R425" s="9" t="n">
        <f aca="false">R424+Q425</f>
        <v>9878599.48000008</v>
      </c>
      <c r="S425" s="37" t="str">
        <f aca="false">IF(AND(R424&lt;0,R425&gt;=0,A425&lt;=MAX(120,Premissas!$B$15*12)),(A425-1)+(-R424)/Q425,"")</f>
        <v/>
      </c>
    </row>
    <row r="426" customFormat="false" ht="15" hidden="false" customHeight="false" outlineLevel="0" collapsed="false">
      <c r="A426" s="10" t="n">
        <f aca="false">A425+1</f>
        <v>422</v>
      </c>
      <c r="B426" s="36" t="n">
        <f aca="false">IF(Premissas!$B$9&lt;=1,1,MIN(1,Premissas!$B$8/100+(1-Premissas!$B$8/100)*(A426-1)/(Premissas!$B$9-1)))</f>
        <v>1</v>
      </c>
      <c r="C426" s="9" t="n">
        <f aca="false">IF(A426&lt;=Resultados!$B$9,Resultados!$B$10,0)</f>
        <v>0</v>
      </c>
      <c r="D426" s="9" t="n">
        <f aca="false">Resultados!$E$37*$B426-Resultados!$F$37*$B426-Premissas!$B$24-Resultados!$E$37*$B426*(Premissas!$B$14/100)</f>
        <v>19027</v>
      </c>
      <c r="E426" s="9" t="n">
        <f aca="false">D426-$C426</f>
        <v>19027</v>
      </c>
      <c r="F426" s="9" t="n">
        <f aca="false">F425+E426</f>
        <v>7639790.9</v>
      </c>
      <c r="G426" s="37" t="str">
        <f aca="false">IF(AND(F425&lt;0,F426&gt;=0,A426&lt;=MAX(120,Premissas!$B$15*12)),(A426-1)+(-F425)/E426,"")</f>
        <v/>
      </c>
      <c r="H426" s="9" t="n">
        <f aca="false">Resultados!$E$38*$B426-Resultados!$F$38*$B426-Premissas!$B$24-Resultados!$E$38*$B426*(Premissas!$B$14/100)</f>
        <v>24432.4</v>
      </c>
      <c r="I426" s="9" t="n">
        <f aca="false">H426-$C426</f>
        <v>24432.4</v>
      </c>
      <c r="J426" s="9" t="n">
        <f aca="false">J425+I426</f>
        <v>9903031.88000008</v>
      </c>
      <c r="K426" s="37" t="str">
        <f aca="false">IF(AND(J425&lt;0,J426&gt;=0,A426&lt;=MAX(120,Premissas!$B$15*12)),(A426-1)+(-J425)/I426,"")</f>
        <v/>
      </c>
      <c r="L426" s="9" t="n">
        <f aca="false">Resultados!$E$39*$B426-Resultados!$F$39*$B426-Premissas!$B$24-Resultados!$E$39*$B426*(Premissas!$B$14/100)</f>
        <v>29837.8</v>
      </c>
      <c r="M426" s="9" t="n">
        <f aca="false">L426-$C426</f>
        <v>29837.8</v>
      </c>
      <c r="N426" s="9" t="n">
        <f aca="false">N425+M426</f>
        <v>12166272.8600001</v>
      </c>
      <c r="O426" s="37" t="str">
        <f aca="false">IF(AND(N425&lt;0,N426&gt;=0,A426&lt;=MAX(120,Premissas!$B$15*12)),(A426-1)+(-N425)/M426,"")</f>
        <v/>
      </c>
      <c r="P426" s="9" t="n">
        <f aca="false">Resultados!$B$19*$B426-Resultados!$B$20*$B426-Premissas!$B$24-Resultados!$B$19*$B426*(Premissas!$B$14/100)</f>
        <v>24432.4</v>
      </c>
      <c r="Q426" s="9" t="n">
        <f aca="false">P426-$C426</f>
        <v>24432.4</v>
      </c>
      <c r="R426" s="9" t="n">
        <f aca="false">R425+Q426</f>
        <v>9903031.88000008</v>
      </c>
      <c r="S426" s="37" t="str">
        <f aca="false">IF(AND(R425&lt;0,R426&gt;=0,A426&lt;=MAX(120,Premissas!$B$15*12)),(A426-1)+(-R425)/Q426,"")</f>
        <v/>
      </c>
    </row>
    <row r="427" customFormat="false" ht="15" hidden="false" customHeight="false" outlineLevel="0" collapsed="false">
      <c r="A427" s="10" t="n">
        <f aca="false">A426+1</f>
        <v>423</v>
      </c>
      <c r="B427" s="36" t="n">
        <f aca="false">IF(Premissas!$B$9&lt;=1,1,MIN(1,Premissas!$B$8/100+(1-Premissas!$B$8/100)*(A427-1)/(Premissas!$B$9-1)))</f>
        <v>1</v>
      </c>
      <c r="C427" s="9" t="n">
        <f aca="false">IF(A427&lt;=Resultados!$B$9,Resultados!$B$10,0)</f>
        <v>0</v>
      </c>
      <c r="D427" s="9" t="n">
        <f aca="false">Resultados!$E$37*$B427-Resultados!$F$37*$B427-Premissas!$B$24-Resultados!$E$37*$B427*(Premissas!$B$14/100)</f>
        <v>19027</v>
      </c>
      <c r="E427" s="9" t="n">
        <f aca="false">D427-$C427</f>
        <v>19027</v>
      </c>
      <c r="F427" s="9" t="n">
        <f aca="false">F426+E427</f>
        <v>7658817.9</v>
      </c>
      <c r="G427" s="37" t="str">
        <f aca="false">IF(AND(F426&lt;0,F427&gt;=0,A427&lt;=MAX(120,Premissas!$B$15*12)),(A427-1)+(-F426)/E427,"")</f>
        <v/>
      </c>
      <c r="H427" s="9" t="n">
        <f aca="false">Resultados!$E$38*$B427-Resultados!$F$38*$B427-Premissas!$B$24-Resultados!$E$38*$B427*(Premissas!$B$14/100)</f>
        <v>24432.4</v>
      </c>
      <c r="I427" s="9" t="n">
        <f aca="false">H427-$C427</f>
        <v>24432.4</v>
      </c>
      <c r="J427" s="9" t="n">
        <f aca="false">J426+I427</f>
        <v>9927464.28000008</v>
      </c>
      <c r="K427" s="37" t="str">
        <f aca="false">IF(AND(J426&lt;0,J427&gt;=0,A427&lt;=MAX(120,Premissas!$B$15*12)),(A427-1)+(-J426)/I427,"")</f>
        <v/>
      </c>
      <c r="L427" s="9" t="n">
        <f aca="false">Resultados!$E$39*$B427-Resultados!$F$39*$B427-Premissas!$B$24-Resultados!$E$39*$B427*(Premissas!$B$14/100)</f>
        <v>29837.8</v>
      </c>
      <c r="M427" s="9" t="n">
        <f aca="false">L427-$C427</f>
        <v>29837.8</v>
      </c>
      <c r="N427" s="9" t="n">
        <f aca="false">N426+M427</f>
        <v>12196110.6600001</v>
      </c>
      <c r="O427" s="37" t="str">
        <f aca="false">IF(AND(N426&lt;0,N427&gt;=0,A427&lt;=MAX(120,Premissas!$B$15*12)),(A427-1)+(-N426)/M427,"")</f>
        <v/>
      </c>
      <c r="P427" s="9" t="n">
        <f aca="false">Resultados!$B$19*$B427-Resultados!$B$20*$B427-Premissas!$B$24-Resultados!$B$19*$B427*(Premissas!$B$14/100)</f>
        <v>24432.4</v>
      </c>
      <c r="Q427" s="9" t="n">
        <f aca="false">P427-$C427</f>
        <v>24432.4</v>
      </c>
      <c r="R427" s="9" t="n">
        <f aca="false">R426+Q427</f>
        <v>9927464.28000008</v>
      </c>
      <c r="S427" s="37" t="str">
        <f aca="false">IF(AND(R426&lt;0,R427&gt;=0,A427&lt;=MAX(120,Premissas!$B$15*12)),(A427-1)+(-R426)/Q427,"")</f>
        <v/>
      </c>
    </row>
    <row r="428" customFormat="false" ht="15" hidden="false" customHeight="false" outlineLevel="0" collapsed="false">
      <c r="A428" s="10" t="n">
        <f aca="false">A427+1</f>
        <v>424</v>
      </c>
      <c r="B428" s="36" t="n">
        <f aca="false">IF(Premissas!$B$9&lt;=1,1,MIN(1,Premissas!$B$8/100+(1-Premissas!$B$8/100)*(A428-1)/(Premissas!$B$9-1)))</f>
        <v>1</v>
      </c>
      <c r="C428" s="9" t="n">
        <f aca="false">IF(A428&lt;=Resultados!$B$9,Resultados!$B$10,0)</f>
        <v>0</v>
      </c>
      <c r="D428" s="9" t="n">
        <f aca="false">Resultados!$E$37*$B428-Resultados!$F$37*$B428-Premissas!$B$24-Resultados!$E$37*$B428*(Premissas!$B$14/100)</f>
        <v>19027</v>
      </c>
      <c r="E428" s="9" t="n">
        <f aca="false">D428-$C428</f>
        <v>19027</v>
      </c>
      <c r="F428" s="9" t="n">
        <f aca="false">F427+E428</f>
        <v>7677844.9</v>
      </c>
      <c r="G428" s="37" t="str">
        <f aca="false">IF(AND(F427&lt;0,F428&gt;=0,A428&lt;=MAX(120,Premissas!$B$15*12)),(A428-1)+(-F427)/E428,"")</f>
        <v/>
      </c>
      <c r="H428" s="9" t="n">
        <f aca="false">Resultados!$E$38*$B428-Resultados!$F$38*$B428-Premissas!$B$24-Resultados!$E$38*$B428*(Premissas!$B$14/100)</f>
        <v>24432.4</v>
      </c>
      <c r="I428" s="9" t="n">
        <f aca="false">H428-$C428</f>
        <v>24432.4</v>
      </c>
      <c r="J428" s="9" t="n">
        <f aca="false">J427+I428</f>
        <v>9951896.68000008</v>
      </c>
      <c r="K428" s="37" t="str">
        <f aca="false">IF(AND(J427&lt;0,J428&gt;=0,A428&lt;=MAX(120,Premissas!$B$15*12)),(A428-1)+(-J427)/I428,"")</f>
        <v/>
      </c>
      <c r="L428" s="9" t="n">
        <f aca="false">Resultados!$E$39*$B428-Resultados!$F$39*$B428-Premissas!$B$24-Resultados!$E$39*$B428*(Premissas!$B$14/100)</f>
        <v>29837.8</v>
      </c>
      <c r="M428" s="9" t="n">
        <f aca="false">L428-$C428</f>
        <v>29837.8</v>
      </c>
      <c r="N428" s="9" t="n">
        <f aca="false">N427+M428</f>
        <v>12225948.4600001</v>
      </c>
      <c r="O428" s="37" t="str">
        <f aca="false">IF(AND(N427&lt;0,N428&gt;=0,A428&lt;=MAX(120,Premissas!$B$15*12)),(A428-1)+(-N427)/M428,"")</f>
        <v/>
      </c>
      <c r="P428" s="9" t="n">
        <f aca="false">Resultados!$B$19*$B428-Resultados!$B$20*$B428-Premissas!$B$24-Resultados!$B$19*$B428*(Premissas!$B$14/100)</f>
        <v>24432.4</v>
      </c>
      <c r="Q428" s="9" t="n">
        <f aca="false">P428-$C428</f>
        <v>24432.4</v>
      </c>
      <c r="R428" s="9" t="n">
        <f aca="false">R427+Q428</f>
        <v>9951896.68000008</v>
      </c>
      <c r="S428" s="37" t="str">
        <f aca="false">IF(AND(R427&lt;0,R428&gt;=0,A428&lt;=MAX(120,Premissas!$B$15*12)),(A428-1)+(-R427)/Q428,"")</f>
        <v/>
      </c>
    </row>
    <row r="429" customFormat="false" ht="15" hidden="false" customHeight="false" outlineLevel="0" collapsed="false">
      <c r="A429" s="10" t="n">
        <f aca="false">A428+1</f>
        <v>425</v>
      </c>
      <c r="B429" s="36" t="n">
        <f aca="false">IF(Premissas!$B$9&lt;=1,1,MIN(1,Premissas!$B$8/100+(1-Premissas!$B$8/100)*(A429-1)/(Premissas!$B$9-1)))</f>
        <v>1</v>
      </c>
      <c r="C429" s="9" t="n">
        <f aca="false">IF(A429&lt;=Resultados!$B$9,Resultados!$B$10,0)</f>
        <v>0</v>
      </c>
      <c r="D429" s="9" t="n">
        <f aca="false">Resultados!$E$37*$B429-Resultados!$F$37*$B429-Premissas!$B$24-Resultados!$E$37*$B429*(Premissas!$B$14/100)</f>
        <v>19027</v>
      </c>
      <c r="E429" s="9" t="n">
        <f aca="false">D429-$C429</f>
        <v>19027</v>
      </c>
      <c r="F429" s="9" t="n">
        <f aca="false">F428+E429</f>
        <v>7696871.9</v>
      </c>
      <c r="G429" s="37" t="str">
        <f aca="false">IF(AND(F428&lt;0,F429&gt;=0,A429&lt;=MAX(120,Premissas!$B$15*12)),(A429-1)+(-F428)/E429,"")</f>
        <v/>
      </c>
      <c r="H429" s="9" t="n">
        <f aca="false">Resultados!$E$38*$B429-Resultados!$F$38*$B429-Premissas!$B$24-Resultados!$E$38*$B429*(Premissas!$B$14/100)</f>
        <v>24432.4</v>
      </c>
      <c r="I429" s="9" t="n">
        <f aca="false">H429-$C429</f>
        <v>24432.4</v>
      </c>
      <c r="J429" s="9" t="n">
        <f aca="false">J428+I429</f>
        <v>9976329.08000008</v>
      </c>
      <c r="K429" s="37" t="str">
        <f aca="false">IF(AND(J428&lt;0,J429&gt;=0,A429&lt;=MAX(120,Premissas!$B$15*12)),(A429-1)+(-J428)/I429,"")</f>
        <v/>
      </c>
      <c r="L429" s="9" t="n">
        <f aca="false">Resultados!$E$39*$B429-Resultados!$F$39*$B429-Premissas!$B$24-Resultados!$E$39*$B429*(Premissas!$B$14/100)</f>
        <v>29837.8</v>
      </c>
      <c r="M429" s="9" t="n">
        <f aca="false">L429-$C429</f>
        <v>29837.8</v>
      </c>
      <c r="N429" s="9" t="n">
        <f aca="false">N428+M429</f>
        <v>12255786.2600001</v>
      </c>
      <c r="O429" s="37" t="str">
        <f aca="false">IF(AND(N428&lt;0,N429&gt;=0,A429&lt;=MAX(120,Premissas!$B$15*12)),(A429-1)+(-N428)/M429,"")</f>
        <v/>
      </c>
      <c r="P429" s="9" t="n">
        <f aca="false">Resultados!$B$19*$B429-Resultados!$B$20*$B429-Premissas!$B$24-Resultados!$B$19*$B429*(Premissas!$B$14/100)</f>
        <v>24432.4</v>
      </c>
      <c r="Q429" s="9" t="n">
        <f aca="false">P429-$C429</f>
        <v>24432.4</v>
      </c>
      <c r="R429" s="9" t="n">
        <f aca="false">R428+Q429</f>
        <v>9976329.08000008</v>
      </c>
      <c r="S429" s="37" t="str">
        <f aca="false">IF(AND(R428&lt;0,R429&gt;=0,A429&lt;=MAX(120,Premissas!$B$15*12)),(A429-1)+(-R428)/Q429,"")</f>
        <v/>
      </c>
    </row>
    <row r="430" customFormat="false" ht="15" hidden="false" customHeight="false" outlineLevel="0" collapsed="false">
      <c r="A430" s="10" t="n">
        <f aca="false">A429+1</f>
        <v>426</v>
      </c>
      <c r="B430" s="36" t="n">
        <f aca="false">IF(Premissas!$B$9&lt;=1,1,MIN(1,Premissas!$B$8/100+(1-Premissas!$B$8/100)*(A430-1)/(Premissas!$B$9-1)))</f>
        <v>1</v>
      </c>
      <c r="C430" s="9" t="n">
        <f aca="false">IF(A430&lt;=Resultados!$B$9,Resultados!$B$10,0)</f>
        <v>0</v>
      </c>
      <c r="D430" s="9" t="n">
        <f aca="false">Resultados!$E$37*$B430-Resultados!$F$37*$B430-Premissas!$B$24-Resultados!$E$37*$B430*(Premissas!$B$14/100)</f>
        <v>19027</v>
      </c>
      <c r="E430" s="9" t="n">
        <f aca="false">D430-$C430</f>
        <v>19027</v>
      </c>
      <c r="F430" s="9" t="n">
        <f aca="false">F429+E430</f>
        <v>7715898.9</v>
      </c>
      <c r="G430" s="37" t="str">
        <f aca="false">IF(AND(F429&lt;0,F430&gt;=0,A430&lt;=MAX(120,Premissas!$B$15*12)),(A430-1)+(-F429)/E430,"")</f>
        <v/>
      </c>
      <c r="H430" s="9" t="n">
        <f aca="false">Resultados!$E$38*$B430-Resultados!$F$38*$B430-Premissas!$B$24-Resultados!$E$38*$B430*(Premissas!$B$14/100)</f>
        <v>24432.4</v>
      </c>
      <c r="I430" s="9" t="n">
        <f aca="false">H430-$C430</f>
        <v>24432.4</v>
      </c>
      <c r="J430" s="9" t="n">
        <f aca="false">J429+I430</f>
        <v>10000761.4800001</v>
      </c>
      <c r="K430" s="37" t="str">
        <f aca="false">IF(AND(J429&lt;0,J430&gt;=0,A430&lt;=MAX(120,Premissas!$B$15*12)),(A430-1)+(-J429)/I430,"")</f>
        <v/>
      </c>
      <c r="L430" s="9" t="n">
        <f aca="false">Resultados!$E$39*$B430-Resultados!$F$39*$B430-Premissas!$B$24-Resultados!$E$39*$B430*(Premissas!$B$14/100)</f>
        <v>29837.8</v>
      </c>
      <c r="M430" s="9" t="n">
        <f aca="false">L430-$C430</f>
        <v>29837.8</v>
      </c>
      <c r="N430" s="9" t="n">
        <f aca="false">N429+M430</f>
        <v>12285624.0600001</v>
      </c>
      <c r="O430" s="37" t="str">
        <f aca="false">IF(AND(N429&lt;0,N430&gt;=0,A430&lt;=MAX(120,Premissas!$B$15*12)),(A430-1)+(-N429)/M430,"")</f>
        <v/>
      </c>
      <c r="P430" s="9" t="n">
        <f aca="false">Resultados!$B$19*$B430-Resultados!$B$20*$B430-Premissas!$B$24-Resultados!$B$19*$B430*(Premissas!$B$14/100)</f>
        <v>24432.4</v>
      </c>
      <c r="Q430" s="9" t="n">
        <f aca="false">P430-$C430</f>
        <v>24432.4</v>
      </c>
      <c r="R430" s="9" t="n">
        <f aca="false">R429+Q430</f>
        <v>10000761.4800001</v>
      </c>
      <c r="S430" s="37" t="str">
        <f aca="false">IF(AND(R429&lt;0,R430&gt;=0,A430&lt;=MAX(120,Premissas!$B$15*12)),(A430-1)+(-R429)/Q430,"")</f>
        <v/>
      </c>
    </row>
    <row r="431" customFormat="false" ht="15" hidden="false" customHeight="false" outlineLevel="0" collapsed="false">
      <c r="A431" s="10" t="n">
        <f aca="false">A430+1</f>
        <v>427</v>
      </c>
      <c r="B431" s="36" t="n">
        <f aca="false">IF(Premissas!$B$9&lt;=1,1,MIN(1,Premissas!$B$8/100+(1-Premissas!$B$8/100)*(A431-1)/(Premissas!$B$9-1)))</f>
        <v>1</v>
      </c>
      <c r="C431" s="9" t="n">
        <f aca="false">IF(A431&lt;=Resultados!$B$9,Resultados!$B$10,0)</f>
        <v>0</v>
      </c>
      <c r="D431" s="9" t="n">
        <f aca="false">Resultados!$E$37*$B431-Resultados!$F$37*$B431-Premissas!$B$24-Resultados!$E$37*$B431*(Premissas!$B$14/100)</f>
        <v>19027</v>
      </c>
      <c r="E431" s="9" t="n">
        <f aca="false">D431-$C431</f>
        <v>19027</v>
      </c>
      <c r="F431" s="9" t="n">
        <f aca="false">F430+E431</f>
        <v>7734925.9</v>
      </c>
      <c r="G431" s="37" t="str">
        <f aca="false">IF(AND(F430&lt;0,F431&gt;=0,A431&lt;=MAX(120,Premissas!$B$15*12)),(A431-1)+(-F430)/E431,"")</f>
        <v/>
      </c>
      <c r="H431" s="9" t="n">
        <f aca="false">Resultados!$E$38*$B431-Resultados!$F$38*$B431-Premissas!$B$24-Resultados!$E$38*$B431*(Premissas!$B$14/100)</f>
        <v>24432.4</v>
      </c>
      <c r="I431" s="9" t="n">
        <f aca="false">H431-$C431</f>
        <v>24432.4</v>
      </c>
      <c r="J431" s="9" t="n">
        <f aca="false">J430+I431</f>
        <v>10025193.8800001</v>
      </c>
      <c r="K431" s="37" t="str">
        <f aca="false">IF(AND(J430&lt;0,J431&gt;=0,A431&lt;=MAX(120,Premissas!$B$15*12)),(A431-1)+(-J430)/I431,"")</f>
        <v/>
      </c>
      <c r="L431" s="9" t="n">
        <f aca="false">Resultados!$E$39*$B431-Resultados!$F$39*$B431-Premissas!$B$24-Resultados!$E$39*$B431*(Premissas!$B$14/100)</f>
        <v>29837.8</v>
      </c>
      <c r="M431" s="9" t="n">
        <f aca="false">L431-$C431</f>
        <v>29837.8</v>
      </c>
      <c r="N431" s="9" t="n">
        <f aca="false">N430+M431</f>
        <v>12315461.8600001</v>
      </c>
      <c r="O431" s="37" t="str">
        <f aca="false">IF(AND(N430&lt;0,N431&gt;=0,A431&lt;=MAX(120,Premissas!$B$15*12)),(A431-1)+(-N430)/M431,"")</f>
        <v/>
      </c>
      <c r="P431" s="9" t="n">
        <f aca="false">Resultados!$B$19*$B431-Resultados!$B$20*$B431-Premissas!$B$24-Resultados!$B$19*$B431*(Premissas!$B$14/100)</f>
        <v>24432.4</v>
      </c>
      <c r="Q431" s="9" t="n">
        <f aca="false">P431-$C431</f>
        <v>24432.4</v>
      </c>
      <c r="R431" s="9" t="n">
        <f aca="false">R430+Q431</f>
        <v>10025193.8800001</v>
      </c>
      <c r="S431" s="37" t="str">
        <f aca="false">IF(AND(R430&lt;0,R431&gt;=0,A431&lt;=MAX(120,Premissas!$B$15*12)),(A431-1)+(-R430)/Q431,"")</f>
        <v/>
      </c>
    </row>
    <row r="432" customFormat="false" ht="15" hidden="false" customHeight="false" outlineLevel="0" collapsed="false">
      <c r="A432" s="10" t="n">
        <f aca="false">A431+1</f>
        <v>428</v>
      </c>
      <c r="B432" s="36" t="n">
        <f aca="false">IF(Premissas!$B$9&lt;=1,1,MIN(1,Premissas!$B$8/100+(1-Premissas!$B$8/100)*(A432-1)/(Premissas!$B$9-1)))</f>
        <v>1</v>
      </c>
      <c r="C432" s="9" t="n">
        <f aca="false">IF(A432&lt;=Resultados!$B$9,Resultados!$B$10,0)</f>
        <v>0</v>
      </c>
      <c r="D432" s="9" t="n">
        <f aca="false">Resultados!$E$37*$B432-Resultados!$F$37*$B432-Premissas!$B$24-Resultados!$E$37*$B432*(Premissas!$B$14/100)</f>
        <v>19027</v>
      </c>
      <c r="E432" s="9" t="n">
        <f aca="false">D432-$C432</f>
        <v>19027</v>
      </c>
      <c r="F432" s="9" t="n">
        <f aca="false">F431+E432</f>
        <v>7753952.9</v>
      </c>
      <c r="G432" s="37" t="str">
        <f aca="false">IF(AND(F431&lt;0,F432&gt;=0,A432&lt;=MAX(120,Premissas!$B$15*12)),(A432-1)+(-F431)/E432,"")</f>
        <v/>
      </c>
      <c r="H432" s="9" t="n">
        <f aca="false">Resultados!$E$38*$B432-Resultados!$F$38*$B432-Premissas!$B$24-Resultados!$E$38*$B432*(Premissas!$B$14/100)</f>
        <v>24432.4</v>
      </c>
      <c r="I432" s="9" t="n">
        <f aca="false">H432-$C432</f>
        <v>24432.4</v>
      </c>
      <c r="J432" s="9" t="n">
        <f aca="false">J431+I432</f>
        <v>10049626.2800001</v>
      </c>
      <c r="K432" s="37" t="str">
        <f aca="false">IF(AND(J431&lt;0,J432&gt;=0,A432&lt;=MAX(120,Premissas!$B$15*12)),(A432-1)+(-J431)/I432,"")</f>
        <v/>
      </c>
      <c r="L432" s="9" t="n">
        <f aca="false">Resultados!$E$39*$B432-Resultados!$F$39*$B432-Premissas!$B$24-Resultados!$E$39*$B432*(Premissas!$B$14/100)</f>
        <v>29837.8</v>
      </c>
      <c r="M432" s="9" t="n">
        <f aca="false">L432-$C432</f>
        <v>29837.8</v>
      </c>
      <c r="N432" s="9" t="n">
        <f aca="false">N431+M432</f>
        <v>12345299.6600001</v>
      </c>
      <c r="O432" s="37" t="str">
        <f aca="false">IF(AND(N431&lt;0,N432&gt;=0,A432&lt;=MAX(120,Premissas!$B$15*12)),(A432-1)+(-N431)/M432,"")</f>
        <v/>
      </c>
      <c r="P432" s="9" t="n">
        <f aca="false">Resultados!$B$19*$B432-Resultados!$B$20*$B432-Premissas!$B$24-Resultados!$B$19*$B432*(Premissas!$B$14/100)</f>
        <v>24432.4</v>
      </c>
      <c r="Q432" s="9" t="n">
        <f aca="false">P432-$C432</f>
        <v>24432.4</v>
      </c>
      <c r="R432" s="9" t="n">
        <f aca="false">R431+Q432</f>
        <v>10049626.2800001</v>
      </c>
      <c r="S432" s="37" t="str">
        <f aca="false">IF(AND(R431&lt;0,R432&gt;=0,A432&lt;=MAX(120,Premissas!$B$15*12)),(A432-1)+(-R431)/Q432,"")</f>
        <v/>
      </c>
    </row>
    <row r="433" customFormat="false" ht="15" hidden="false" customHeight="false" outlineLevel="0" collapsed="false">
      <c r="A433" s="10" t="n">
        <f aca="false">A432+1</f>
        <v>429</v>
      </c>
      <c r="B433" s="36" t="n">
        <f aca="false">IF(Premissas!$B$9&lt;=1,1,MIN(1,Premissas!$B$8/100+(1-Premissas!$B$8/100)*(A433-1)/(Premissas!$B$9-1)))</f>
        <v>1</v>
      </c>
      <c r="C433" s="9" t="n">
        <f aca="false">IF(A433&lt;=Resultados!$B$9,Resultados!$B$10,0)</f>
        <v>0</v>
      </c>
      <c r="D433" s="9" t="n">
        <f aca="false">Resultados!$E$37*$B433-Resultados!$F$37*$B433-Premissas!$B$24-Resultados!$E$37*$B433*(Premissas!$B$14/100)</f>
        <v>19027</v>
      </c>
      <c r="E433" s="9" t="n">
        <f aca="false">D433-$C433</f>
        <v>19027</v>
      </c>
      <c r="F433" s="9" t="n">
        <f aca="false">F432+E433</f>
        <v>7772979.9</v>
      </c>
      <c r="G433" s="37" t="str">
        <f aca="false">IF(AND(F432&lt;0,F433&gt;=0,A433&lt;=MAX(120,Premissas!$B$15*12)),(A433-1)+(-F432)/E433,"")</f>
        <v/>
      </c>
      <c r="H433" s="9" t="n">
        <f aca="false">Resultados!$E$38*$B433-Resultados!$F$38*$B433-Premissas!$B$24-Resultados!$E$38*$B433*(Premissas!$B$14/100)</f>
        <v>24432.4</v>
      </c>
      <c r="I433" s="9" t="n">
        <f aca="false">H433-$C433</f>
        <v>24432.4</v>
      </c>
      <c r="J433" s="9" t="n">
        <f aca="false">J432+I433</f>
        <v>10074058.6800001</v>
      </c>
      <c r="K433" s="37" t="str">
        <f aca="false">IF(AND(J432&lt;0,J433&gt;=0,A433&lt;=MAX(120,Premissas!$B$15*12)),(A433-1)+(-J432)/I433,"")</f>
        <v/>
      </c>
      <c r="L433" s="9" t="n">
        <f aca="false">Resultados!$E$39*$B433-Resultados!$F$39*$B433-Premissas!$B$24-Resultados!$E$39*$B433*(Premissas!$B$14/100)</f>
        <v>29837.8</v>
      </c>
      <c r="M433" s="9" t="n">
        <f aca="false">L433-$C433</f>
        <v>29837.8</v>
      </c>
      <c r="N433" s="9" t="n">
        <f aca="false">N432+M433</f>
        <v>12375137.4600001</v>
      </c>
      <c r="O433" s="37" t="str">
        <f aca="false">IF(AND(N432&lt;0,N433&gt;=0,A433&lt;=MAX(120,Premissas!$B$15*12)),(A433-1)+(-N432)/M433,"")</f>
        <v/>
      </c>
      <c r="P433" s="9" t="n">
        <f aca="false">Resultados!$B$19*$B433-Resultados!$B$20*$B433-Premissas!$B$24-Resultados!$B$19*$B433*(Premissas!$B$14/100)</f>
        <v>24432.4</v>
      </c>
      <c r="Q433" s="9" t="n">
        <f aca="false">P433-$C433</f>
        <v>24432.4</v>
      </c>
      <c r="R433" s="9" t="n">
        <f aca="false">R432+Q433</f>
        <v>10074058.6800001</v>
      </c>
      <c r="S433" s="37" t="str">
        <f aca="false">IF(AND(R432&lt;0,R433&gt;=0,A433&lt;=MAX(120,Premissas!$B$15*12)),(A433-1)+(-R432)/Q433,"")</f>
        <v/>
      </c>
    </row>
    <row r="434" customFormat="false" ht="15" hidden="false" customHeight="false" outlineLevel="0" collapsed="false">
      <c r="A434" s="10" t="n">
        <f aca="false">A433+1</f>
        <v>430</v>
      </c>
      <c r="B434" s="36" t="n">
        <f aca="false">IF(Premissas!$B$9&lt;=1,1,MIN(1,Premissas!$B$8/100+(1-Premissas!$B$8/100)*(A434-1)/(Premissas!$B$9-1)))</f>
        <v>1</v>
      </c>
      <c r="C434" s="9" t="n">
        <f aca="false">IF(A434&lt;=Resultados!$B$9,Resultados!$B$10,0)</f>
        <v>0</v>
      </c>
      <c r="D434" s="9" t="n">
        <f aca="false">Resultados!$E$37*$B434-Resultados!$F$37*$B434-Premissas!$B$24-Resultados!$E$37*$B434*(Premissas!$B$14/100)</f>
        <v>19027</v>
      </c>
      <c r="E434" s="9" t="n">
        <f aca="false">D434-$C434</f>
        <v>19027</v>
      </c>
      <c r="F434" s="9" t="n">
        <f aca="false">F433+E434</f>
        <v>7792006.9</v>
      </c>
      <c r="G434" s="37" t="str">
        <f aca="false">IF(AND(F433&lt;0,F434&gt;=0,A434&lt;=MAX(120,Premissas!$B$15*12)),(A434-1)+(-F433)/E434,"")</f>
        <v/>
      </c>
      <c r="H434" s="9" t="n">
        <f aca="false">Resultados!$E$38*$B434-Resultados!$F$38*$B434-Premissas!$B$24-Resultados!$E$38*$B434*(Premissas!$B$14/100)</f>
        <v>24432.4</v>
      </c>
      <c r="I434" s="9" t="n">
        <f aca="false">H434-$C434</f>
        <v>24432.4</v>
      </c>
      <c r="J434" s="9" t="n">
        <f aca="false">J433+I434</f>
        <v>10098491.0800001</v>
      </c>
      <c r="K434" s="37" t="str">
        <f aca="false">IF(AND(J433&lt;0,J434&gt;=0,A434&lt;=MAX(120,Premissas!$B$15*12)),(A434-1)+(-J433)/I434,"")</f>
        <v/>
      </c>
      <c r="L434" s="9" t="n">
        <f aca="false">Resultados!$E$39*$B434-Resultados!$F$39*$B434-Premissas!$B$24-Resultados!$E$39*$B434*(Premissas!$B$14/100)</f>
        <v>29837.8</v>
      </c>
      <c r="M434" s="9" t="n">
        <f aca="false">L434-$C434</f>
        <v>29837.8</v>
      </c>
      <c r="N434" s="9" t="n">
        <f aca="false">N433+M434</f>
        <v>12404975.2600001</v>
      </c>
      <c r="O434" s="37" t="str">
        <f aca="false">IF(AND(N433&lt;0,N434&gt;=0,A434&lt;=MAX(120,Premissas!$B$15*12)),(A434-1)+(-N433)/M434,"")</f>
        <v/>
      </c>
      <c r="P434" s="9" t="n">
        <f aca="false">Resultados!$B$19*$B434-Resultados!$B$20*$B434-Premissas!$B$24-Resultados!$B$19*$B434*(Premissas!$B$14/100)</f>
        <v>24432.4</v>
      </c>
      <c r="Q434" s="9" t="n">
        <f aca="false">P434-$C434</f>
        <v>24432.4</v>
      </c>
      <c r="R434" s="9" t="n">
        <f aca="false">R433+Q434</f>
        <v>10098491.0800001</v>
      </c>
      <c r="S434" s="37" t="str">
        <f aca="false">IF(AND(R433&lt;0,R434&gt;=0,A434&lt;=MAX(120,Premissas!$B$15*12)),(A434-1)+(-R433)/Q434,"")</f>
        <v/>
      </c>
    </row>
    <row r="435" customFormat="false" ht="15" hidden="false" customHeight="false" outlineLevel="0" collapsed="false">
      <c r="A435" s="10" t="n">
        <f aca="false">A434+1</f>
        <v>431</v>
      </c>
      <c r="B435" s="36" t="n">
        <f aca="false">IF(Premissas!$B$9&lt;=1,1,MIN(1,Premissas!$B$8/100+(1-Premissas!$B$8/100)*(A435-1)/(Premissas!$B$9-1)))</f>
        <v>1</v>
      </c>
      <c r="C435" s="9" t="n">
        <f aca="false">IF(A435&lt;=Resultados!$B$9,Resultados!$B$10,0)</f>
        <v>0</v>
      </c>
      <c r="D435" s="9" t="n">
        <f aca="false">Resultados!$E$37*$B435-Resultados!$F$37*$B435-Premissas!$B$24-Resultados!$E$37*$B435*(Premissas!$B$14/100)</f>
        <v>19027</v>
      </c>
      <c r="E435" s="9" t="n">
        <f aca="false">D435-$C435</f>
        <v>19027</v>
      </c>
      <c r="F435" s="9" t="n">
        <f aca="false">F434+E435</f>
        <v>7811033.9</v>
      </c>
      <c r="G435" s="37" t="str">
        <f aca="false">IF(AND(F434&lt;0,F435&gt;=0,A435&lt;=MAX(120,Premissas!$B$15*12)),(A435-1)+(-F434)/E435,"")</f>
        <v/>
      </c>
      <c r="H435" s="9" t="n">
        <f aca="false">Resultados!$E$38*$B435-Resultados!$F$38*$B435-Premissas!$B$24-Resultados!$E$38*$B435*(Premissas!$B$14/100)</f>
        <v>24432.4</v>
      </c>
      <c r="I435" s="9" t="n">
        <f aca="false">H435-$C435</f>
        <v>24432.4</v>
      </c>
      <c r="J435" s="9" t="n">
        <f aca="false">J434+I435</f>
        <v>10122923.4800001</v>
      </c>
      <c r="K435" s="37" t="str">
        <f aca="false">IF(AND(J434&lt;0,J435&gt;=0,A435&lt;=MAX(120,Premissas!$B$15*12)),(A435-1)+(-J434)/I435,"")</f>
        <v/>
      </c>
      <c r="L435" s="9" t="n">
        <f aca="false">Resultados!$E$39*$B435-Resultados!$F$39*$B435-Premissas!$B$24-Resultados!$E$39*$B435*(Premissas!$B$14/100)</f>
        <v>29837.8</v>
      </c>
      <c r="M435" s="9" t="n">
        <f aca="false">L435-$C435</f>
        <v>29837.8</v>
      </c>
      <c r="N435" s="9" t="n">
        <f aca="false">N434+M435</f>
        <v>12434813.0600001</v>
      </c>
      <c r="O435" s="37" t="str">
        <f aca="false">IF(AND(N434&lt;0,N435&gt;=0,A435&lt;=MAX(120,Premissas!$B$15*12)),(A435-1)+(-N434)/M435,"")</f>
        <v/>
      </c>
      <c r="P435" s="9" t="n">
        <f aca="false">Resultados!$B$19*$B435-Resultados!$B$20*$B435-Premissas!$B$24-Resultados!$B$19*$B435*(Premissas!$B$14/100)</f>
        <v>24432.4</v>
      </c>
      <c r="Q435" s="9" t="n">
        <f aca="false">P435-$C435</f>
        <v>24432.4</v>
      </c>
      <c r="R435" s="9" t="n">
        <f aca="false">R434+Q435</f>
        <v>10122923.4800001</v>
      </c>
      <c r="S435" s="37" t="str">
        <f aca="false">IF(AND(R434&lt;0,R435&gt;=0,A435&lt;=MAX(120,Premissas!$B$15*12)),(A435-1)+(-R434)/Q435,"")</f>
        <v/>
      </c>
    </row>
    <row r="436" customFormat="false" ht="15" hidden="false" customHeight="false" outlineLevel="0" collapsed="false">
      <c r="A436" s="10" t="n">
        <f aca="false">A435+1</f>
        <v>432</v>
      </c>
      <c r="B436" s="36" t="n">
        <f aca="false">IF(Premissas!$B$9&lt;=1,1,MIN(1,Premissas!$B$8/100+(1-Premissas!$B$8/100)*(A436-1)/(Premissas!$B$9-1)))</f>
        <v>1</v>
      </c>
      <c r="C436" s="9" t="n">
        <f aca="false">IF(A436&lt;=Resultados!$B$9,Resultados!$B$10,0)</f>
        <v>0</v>
      </c>
      <c r="D436" s="9" t="n">
        <f aca="false">Resultados!$E$37*$B436-Resultados!$F$37*$B436-Premissas!$B$24-Resultados!$E$37*$B436*(Premissas!$B$14/100)</f>
        <v>19027</v>
      </c>
      <c r="E436" s="9" t="n">
        <f aca="false">D436-$C436</f>
        <v>19027</v>
      </c>
      <c r="F436" s="9" t="n">
        <f aca="false">F435+E436</f>
        <v>7830060.9</v>
      </c>
      <c r="G436" s="37" t="str">
        <f aca="false">IF(AND(F435&lt;0,F436&gt;=0,A436&lt;=MAX(120,Premissas!$B$15*12)),(A436-1)+(-F435)/E436,"")</f>
        <v/>
      </c>
      <c r="H436" s="9" t="n">
        <f aca="false">Resultados!$E$38*$B436-Resultados!$F$38*$B436-Premissas!$B$24-Resultados!$E$38*$B436*(Premissas!$B$14/100)</f>
        <v>24432.4</v>
      </c>
      <c r="I436" s="9" t="n">
        <f aca="false">H436-$C436</f>
        <v>24432.4</v>
      </c>
      <c r="J436" s="9" t="n">
        <f aca="false">J435+I436</f>
        <v>10147355.8800001</v>
      </c>
      <c r="K436" s="37" t="str">
        <f aca="false">IF(AND(J435&lt;0,J436&gt;=0,A436&lt;=MAX(120,Premissas!$B$15*12)),(A436-1)+(-J435)/I436,"")</f>
        <v/>
      </c>
      <c r="L436" s="9" t="n">
        <f aca="false">Resultados!$E$39*$B436-Resultados!$F$39*$B436-Premissas!$B$24-Resultados!$E$39*$B436*(Premissas!$B$14/100)</f>
        <v>29837.8</v>
      </c>
      <c r="M436" s="9" t="n">
        <f aca="false">L436-$C436</f>
        <v>29837.8</v>
      </c>
      <c r="N436" s="9" t="n">
        <f aca="false">N435+M436</f>
        <v>12464650.8600001</v>
      </c>
      <c r="O436" s="37" t="str">
        <f aca="false">IF(AND(N435&lt;0,N436&gt;=0,A436&lt;=MAX(120,Premissas!$B$15*12)),(A436-1)+(-N435)/M436,"")</f>
        <v/>
      </c>
      <c r="P436" s="9" t="n">
        <f aca="false">Resultados!$B$19*$B436-Resultados!$B$20*$B436-Premissas!$B$24-Resultados!$B$19*$B436*(Premissas!$B$14/100)</f>
        <v>24432.4</v>
      </c>
      <c r="Q436" s="9" t="n">
        <f aca="false">P436-$C436</f>
        <v>24432.4</v>
      </c>
      <c r="R436" s="9" t="n">
        <f aca="false">R435+Q436</f>
        <v>10147355.8800001</v>
      </c>
      <c r="S436" s="37" t="str">
        <f aca="false">IF(AND(R435&lt;0,R436&gt;=0,A436&lt;=MAX(120,Premissas!$B$15*12)),(A436-1)+(-R435)/Q436,"")</f>
        <v/>
      </c>
    </row>
    <row r="437" customFormat="false" ht="15" hidden="false" customHeight="false" outlineLevel="0" collapsed="false">
      <c r="A437" s="10" t="n">
        <f aca="false">A436+1</f>
        <v>433</v>
      </c>
      <c r="B437" s="36" t="n">
        <f aca="false">IF(Premissas!$B$9&lt;=1,1,MIN(1,Premissas!$B$8/100+(1-Premissas!$B$8/100)*(A437-1)/(Premissas!$B$9-1)))</f>
        <v>1</v>
      </c>
      <c r="C437" s="9" t="n">
        <f aca="false">IF(A437&lt;=Resultados!$B$9,Resultados!$B$10,0)</f>
        <v>0</v>
      </c>
      <c r="D437" s="9" t="n">
        <f aca="false">Resultados!$E$37*$B437-Resultados!$F$37*$B437-Premissas!$B$24-Resultados!$E$37*$B437*(Premissas!$B$14/100)</f>
        <v>19027</v>
      </c>
      <c r="E437" s="9" t="n">
        <f aca="false">D437-$C437</f>
        <v>19027</v>
      </c>
      <c r="F437" s="9" t="n">
        <f aca="false">F436+E437</f>
        <v>7849087.9</v>
      </c>
      <c r="G437" s="37" t="str">
        <f aca="false">IF(AND(F436&lt;0,F437&gt;=0,A437&lt;=MAX(120,Premissas!$B$15*12)),(A437-1)+(-F436)/E437,"")</f>
        <v/>
      </c>
      <c r="H437" s="9" t="n">
        <f aca="false">Resultados!$E$38*$B437-Resultados!$F$38*$B437-Premissas!$B$24-Resultados!$E$38*$B437*(Premissas!$B$14/100)</f>
        <v>24432.4</v>
      </c>
      <c r="I437" s="9" t="n">
        <f aca="false">H437-$C437</f>
        <v>24432.4</v>
      </c>
      <c r="J437" s="9" t="n">
        <f aca="false">J436+I437</f>
        <v>10171788.2800001</v>
      </c>
      <c r="K437" s="37" t="str">
        <f aca="false">IF(AND(J436&lt;0,J437&gt;=0,A437&lt;=MAX(120,Premissas!$B$15*12)),(A437-1)+(-J436)/I437,"")</f>
        <v/>
      </c>
      <c r="L437" s="9" t="n">
        <f aca="false">Resultados!$E$39*$B437-Resultados!$F$39*$B437-Premissas!$B$24-Resultados!$E$39*$B437*(Premissas!$B$14/100)</f>
        <v>29837.8</v>
      </c>
      <c r="M437" s="9" t="n">
        <f aca="false">L437-$C437</f>
        <v>29837.8</v>
      </c>
      <c r="N437" s="9" t="n">
        <f aca="false">N436+M437</f>
        <v>12494488.6600001</v>
      </c>
      <c r="O437" s="37" t="str">
        <f aca="false">IF(AND(N436&lt;0,N437&gt;=0,A437&lt;=MAX(120,Premissas!$B$15*12)),(A437-1)+(-N436)/M437,"")</f>
        <v/>
      </c>
      <c r="P437" s="9" t="n">
        <f aca="false">Resultados!$B$19*$B437-Resultados!$B$20*$B437-Premissas!$B$24-Resultados!$B$19*$B437*(Premissas!$B$14/100)</f>
        <v>24432.4</v>
      </c>
      <c r="Q437" s="9" t="n">
        <f aca="false">P437-$C437</f>
        <v>24432.4</v>
      </c>
      <c r="R437" s="9" t="n">
        <f aca="false">R436+Q437</f>
        <v>10171788.2800001</v>
      </c>
      <c r="S437" s="37" t="str">
        <f aca="false">IF(AND(R436&lt;0,R437&gt;=0,A437&lt;=MAX(120,Premissas!$B$15*12)),(A437-1)+(-R436)/Q437,"")</f>
        <v/>
      </c>
    </row>
    <row r="438" customFormat="false" ht="15" hidden="false" customHeight="false" outlineLevel="0" collapsed="false">
      <c r="A438" s="10" t="n">
        <f aca="false">A437+1</f>
        <v>434</v>
      </c>
      <c r="B438" s="36" t="n">
        <f aca="false">IF(Premissas!$B$9&lt;=1,1,MIN(1,Premissas!$B$8/100+(1-Premissas!$B$8/100)*(A438-1)/(Premissas!$B$9-1)))</f>
        <v>1</v>
      </c>
      <c r="C438" s="9" t="n">
        <f aca="false">IF(A438&lt;=Resultados!$B$9,Resultados!$B$10,0)</f>
        <v>0</v>
      </c>
      <c r="D438" s="9" t="n">
        <f aca="false">Resultados!$E$37*$B438-Resultados!$F$37*$B438-Premissas!$B$24-Resultados!$E$37*$B438*(Premissas!$B$14/100)</f>
        <v>19027</v>
      </c>
      <c r="E438" s="9" t="n">
        <f aca="false">D438-$C438</f>
        <v>19027</v>
      </c>
      <c r="F438" s="9" t="n">
        <f aca="false">F437+E438</f>
        <v>7868114.9</v>
      </c>
      <c r="G438" s="37" t="str">
        <f aca="false">IF(AND(F437&lt;0,F438&gt;=0,A438&lt;=MAX(120,Premissas!$B$15*12)),(A438-1)+(-F437)/E438,"")</f>
        <v/>
      </c>
      <c r="H438" s="9" t="n">
        <f aca="false">Resultados!$E$38*$B438-Resultados!$F$38*$B438-Premissas!$B$24-Resultados!$E$38*$B438*(Premissas!$B$14/100)</f>
        <v>24432.4</v>
      </c>
      <c r="I438" s="9" t="n">
        <f aca="false">H438-$C438</f>
        <v>24432.4</v>
      </c>
      <c r="J438" s="9" t="n">
        <f aca="false">J437+I438</f>
        <v>10196220.6800001</v>
      </c>
      <c r="K438" s="37" t="str">
        <f aca="false">IF(AND(J437&lt;0,J438&gt;=0,A438&lt;=MAX(120,Premissas!$B$15*12)),(A438-1)+(-J437)/I438,"")</f>
        <v/>
      </c>
      <c r="L438" s="9" t="n">
        <f aca="false">Resultados!$E$39*$B438-Resultados!$F$39*$B438-Premissas!$B$24-Resultados!$E$39*$B438*(Premissas!$B$14/100)</f>
        <v>29837.8</v>
      </c>
      <c r="M438" s="9" t="n">
        <f aca="false">L438-$C438</f>
        <v>29837.8</v>
      </c>
      <c r="N438" s="9" t="n">
        <f aca="false">N437+M438</f>
        <v>12524326.4600001</v>
      </c>
      <c r="O438" s="37" t="str">
        <f aca="false">IF(AND(N437&lt;0,N438&gt;=0,A438&lt;=MAX(120,Premissas!$B$15*12)),(A438-1)+(-N437)/M438,"")</f>
        <v/>
      </c>
      <c r="P438" s="9" t="n">
        <f aca="false">Resultados!$B$19*$B438-Resultados!$B$20*$B438-Premissas!$B$24-Resultados!$B$19*$B438*(Premissas!$B$14/100)</f>
        <v>24432.4</v>
      </c>
      <c r="Q438" s="9" t="n">
        <f aca="false">P438-$C438</f>
        <v>24432.4</v>
      </c>
      <c r="R438" s="9" t="n">
        <f aca="false">R437+Q438</f>
        <v>10196220.6800001</v>
      </c>
      <c r="S438" s="37" t="str">
        <f aca="false">IF(AND(R437&lt;0,R438&gt;=0,A438&lt;=MAX(120,Premissas!$B$15*12)),(A438-1)+(-R437)/Q438,"")</f>
        <v/>
      </c>
    </row>
    <row r="439" customFormat="false" ht="15" hidden="false" customHeight="false" outlineLevel="0" collapsed="false">
      <c r="A439" s="10" t="n">
        <f aca="false">A438+1</f>
        <v>435</v>
      </c>
      <c r="B439" s="36" t="n">
        <f aca="false">IF(Premissas!$B$9&lt;=1,1,MIN(1,Premissas!$B$8/100+(1-Premissas!$B$8/100)*(A439-1)/(Premissas!$B$9-1)))</f>
        <v>1</v>
      </c>
      <c r="C439" s="9" t="n">
        <f aca="false">IF(A439&lt;=Resultados!$B$9,Resultados!$B$10,0)</f>
        <v>0</v>
      </c>
      <c r="D439" s="9" t="n">
        <f aca="false">Resultados!$E$37*$B439-Resultados!$F$37*$B439-Premissas!$B$24-Resultados!$E$37*$B439*(Premissas!$B$14/100)</f>
        <v>19027</v>
      </c>
      <c r="E439" s="9" t="n">
        <f aca="false">D439-$C439</f>
        <v>19027</v>
      </c>
      <c r="F439" s="9" t="n">
        <f aca="false">F438+E439</f>
        <v>7887141.9</v>
      </c>
      <c r="G439" s="37" t="str">
        <f aca="false">IF(AND(F438&lt;0,F439&gt;=0,A439&lt;=MAX(120,Premissas!$B$15*12)),(A439-1)+(-F438)/E439,"")</f>
        <v/>
      </c>
      <c r="H439" s="9" t="n">
        <f aca="false">Resultados!$E$38*$B439-Resultados!$F$38*$B439-Premissas!$B$24-Resultados!$E$38*$B439*(Premissas!$B$14/100)</f>
        <v>24432.4</v>
      </c>
      <c r="I439" s="9" t="n">
        <f aca="false">H439-$C439</f>
        <v>24432.4</v>
      </c>
      <c r="J439" s="9" t="n">
        <f aca="false">J438+I439</f>
        <v>10220653.0800001</v>
      </c>
      <c r="K439" s="37" t="str">
        <f aca="false">IF(AND(J438&lt;0,J439&gt;=0,A439&lt;=MAX(120,Premissas!$B$15*12)),(A439-1)+(-J438)/I439,"")</f>
        <v/>
      </c>
      <c r="L439" s="9" t="n">
        <f aca="false">Resultados!$E$39*$B439-Resultados!$F$39*$B439-Premissas!$B$24-Resultados!$E$39*$B439*(Premissas!$B$14/100)</f>
        <v>29837.8</v>
      </c>
      <c r="M439" s="9" t="n">
        <f aca="false">L439-$C439</f>
        <v>29837.8</v>
      </c>
      <c r="N439" s="9" t="n">
        <f aca="false">N438+M439</f>
        <v>12554164.2600001</v>
      </c>
      <c r="O439" s="37" t="str">
        <f aca="false">IF(AND(N438&lt;0,N439&gt;=0,A439&lt;=MAX(120,Premissas!$B$15*12)),(A439-1)+(-N438)/M439,"")</f>
        <v/>
      </c>
      <c r="P439" s="9" t="n">
        <f aca="false">Resultados!$B$19*$B439-Resultados!$B$20*$B439-Premissas!$B$24-Resultados!$B$19*$B439*(Premissas!$B$14/100)</f>
        <v>24432.4</v>
      </c>
      <c r="Q439" s="9" t="n">
        <f aca="false">P439-$C439</f>
        <v>24432.4</v>
      </c>
      <c r="R439" s="9" t="n">
        <f aca="false">R438+Q439</f>
        <v>10220653.0800001</v>
      </c>
      <c r="S439" s="37" t="str">
        <f aca="false">IF(AND(R438&lt;0,R439&gt;=0,A439&lt;=MAX(120,Premissas!$B$15*12)),(A439-1)+(-R438)/Q439,"")</f>
        <v/>
      </c>
    </row>
    <row r="440" customFormat="false" ht="15" hidden="false" customHeight="false" outlineLevel="0" collapsed="false">
      <c r="A440" s="10" t="n">
        <f aca="false">A439+1</f>
        <v>436</v>
      </c>
      <c r="B440" s="36" t="n">
        <f aca="false">IF(Premissas!$B$9&lt;=1,1,MIN(1,Premissas!$B$8/100+(1-Premissas!$B$8/100)*(A440-1)/(Premissas!$B$9-1)))</f>
        <v>1</v>
      </c>
      <c r="C440" s="9" t="n">
        <f aca="false">IF(A440&lt;=Resultados!$B$9,Resultados!$B$10,0)</f>
        <v>0</v>
      </c>
      <c r="D440" s="9" t="n">
        <f aca="false">Resultados!$E$37*$B440-Resultados!$F$37*$B440-Premissas!$B$24-Resultados!$E$37*$B440*(Premissas!$B$14/100)</f>
        <v>19027</v>
      </c>
      <c r="E440" s="9" t="n">
        <f aca="false">D440-$C440</f>
        <v>19027</v>
      </c>
      <c r="F440" s="9" t="n">
        <f aca="false">F439+E440</f>
        <v>7906168.9</v>
      </c>
      <c r="G440" s="37" t="str">
        <f aca="false">IF(AND(F439&lt;0,F440&gt;=0,A440&lt;=MAX(120,Premissas!$B$15*12)),(A440-1)+(-F439)/E440,"")</f>
        <v/>
      </c>
      <c r="H440" s="9" t="n">
        <f aca="false">Resultados!$E$38*$B440-Resultados!$F$38*$B440-Premissas!$B$24-Resultados!$E$38*$B440*(Premissas!$B$14/100)</f>
        <v>24432.4</v>
      </c>
      <c r="I440" s="9" t="n">
        <f aca="false">H440-$C440</f>
        <v>24432.4</v>
      </c>
      <c r="J440" s="9" t="n">
        <f aca="false">J439+I440</f>
        <v>10245085.4800001</v>
      </c>
      <c r="K440" s="37" t="str">
        <f aca="false">IF(AND(J439&lt;0,J440&gt;=0,A440&lt;=MAX(120,Premissas!$B$15*12)),(A440-1)+(-J439)/I440,"")</f>
        <v/>
      </c>
      <c r="L440" s="9" t="n">
        <f aca="false">Resultados!$E$39*$B440-Resultados!$F$39*$B440-Premissas!$B$24-Resultados!$E$39*$B440*(Premissas!$B$14/100)</f>
        <v>29837.8</v>
      </c>
      <c r="M440" s="9" t="n">
        <f aca="false">L440-$C440</f>
        <v>29837.8</v>
      </c>
      <c r="N440" s="9" t="n">
        <f aca="false">N439+M440</f>
        <v>12584002.0600001</v>
      </c>
      <c r="O440" s="37" t="str">
        <f aca="false">IF(AND(N439&lt;0,N440&gt;=0,A440&lt;=MAX(120,Premissas!$B$15*12)),(A440-1)+(-N439)/M440,"")</f>
        <v/>
      </c>
      <c r="P440" s="9" t="n">
        <f aca="false">Resultados!$B$19*$B440-Resultados!$B$20*$B440-Premissas!$B$24-Resultados!$B$19*$B440*(Premissas!$B$14/100)</f>
        <v>24432.4</v>
      </c>
      <c r="Q440" s="9" t="n">
        <f aca="false">P440-$C440</f>
        <v>24432.4</v>
      </c>
      <c r="R440" s="9" t="n">
        <f aca="false">R439+Q440</f>
        <v>10245085.4800001</v>
      </c>
      <c r="S440" s="37" t="str">
        <f aca="false">IF(AND(R439&lt;0,R440&gt;=0,A440&lt;=MAX(120,Premissas!$B$15*12)),(A440-1)+(-R439)/Q440,"")</f>
        <v/>
      </c>
    </row>
    <row r="441" customFormat="false" ht="15" hidden="false" customHeight="false" outlineLevel="0" collapsed="false">
      <c r="A441" s="10" t="n">
        <f aca="false">A440+1</f>
        <v>437</v>
      </c>
      <c r="B441" s="36" t="n">
        <f aca="false">IF(Premissas!$B$9&lt;=1,1,MIN(1,Premissas!$B$8/100+(1-Premissas!$B$8/100)*(A441-1)/(Premissas!$B$9-1)))</f>
        <v>1</v>
      </c>
      <c r="C441" s="9" t="n">
        <f aca="false">IF(A441&lt;=Resultados!$B$9,Resultados!$B$10,0)</f>
        <v>0</v>
      </c>
      <c r="D441" s="9" t="n">
        <f aca="false">Resultados!$E$37*$B441-Resultados!$F$37*$B441-Premissas!$B$24-Resultados!$E$37*$B441*(Premissas!$B$14/100)</f>
        <v>19027</v>
      </c>
      <c r="E441" s="9" t="n">
        <f aca="false">D441-$C441</f>
        <v>19027</v>
      </c>
      <c r="F441" s="9" t="n">
        <f aca="false">F440+E441</f>
        <v>7925195.9</v>
      </c>
      <c r="G441" s="37" t="str">
        <f aca="false">IF(AND(F440&lt;0,F441&gt;=0,A441&lt;=MAX(120,Premissas!$B$15*12)),(A441-1)+(-F440)/E441,"")</f>
        <v/>
      </c>
      <c r="H441" s="9" t="n">
        <f aca="false">Resultados!$E$38*$B441-Resultados!$F$38*$B441-Premissas!$B$24-Resultados!$E$38*$B441*(Premissas!$B$14/100)</f>
        <v>24432.4</v>
      </c>
      <c r="I441" s="9" t="n">
        <f aca="false">H441-$C441</f>
        <v>24432.4</v>
      </c>
      <c r="J441" s="9" t="n">
        <f aca="false">J440+I441</f>
        <v>10269517.8800001</v>
      </c>
      <c r="K441" s="37" t="str">
        <f aca="false">IF(AND(J440&lt;0,J441&gt;=0,A441&lt;=MAX(120,Premissas!$B$15*12)),(A441-1)+(-J440)/I441,"")</f>
        <v/>
      </c>
      <c r="L441" s="9" t="n">
        <f aca="false">Resultados!$E$39*$B441-Resultados!$F$39*$B441-Premissas!$B$24-Resultados!$E$39*$B441*(Premissas!$B$14/100)</f>
        <v>29837.8</v>
      </c>
      <c r="M441" s="9" t="n">
        <f aca="false">L441-$C441</f>
        <v>29837.8</v>
      </c>
      <c r="N441" s="9" t="n">
        <f aca="false">N440+M441</f>
        <v>12613839.8600001</v>
      </c>
      <c r="O441" s="37" t="str">
        <f aca="false">IF(AND(N440&lt;0,N441&gt;=0,A441&lt;=MAX(120,Premissas!$B$15*12)),(A441-1)+(-N440)/M441,"")</f>
        <v/>
      </c>
      <c r="P441" s="9" t="n">
        <f aca="false">Resultados!$B$19*$B441-Resultados!$B$20*$B441-Premissas!$B$24-Resultados!$B$19*$B441*(Premissas!$B$14/100)</f>
        <v>24432.4</v>
      </c>
      <c r="Q441" s="9" t="n">
        <f aca="false">P441-$C441</f>
        <v>24432.4</v>
      </c>
      <c r="R441" s="9" t="n">
        <f aca="false">R440+Q441</f>
        <v>10269517.8800001</v>
      </c>
      <c r="S441" s="37" t="str">
        <f aca="false">IF(AND(R440&lt;0,R441&gt;=0,A441&lt;=MAX(120,Premissas!$B$15*12)),(A441-1)+(-R440)/Q441,"")</f>
        <v/>
      </c>
    </row>
    <row r="442" customFormat="false" ht="15" hidden="false" customHeight="false" outlineLevel="0" collapsed="false">
      <c r="A442" s="10" t="n">
        <f aca="false">A441+1</f>
        <v>438</v>
      </c>
      <c r="B442" s="36" t="n">
        <f aca="false">IF(Premissas!$B$9&lt;=1,1,MIN(1,Premissas!$B$8/100+(1-Premissas!$B$8/100)*(A442-1)/(Premissas!$B$9-1)))</f>
        <v>1</v>
      </c>
      <c r="C442" s="9" t="n">
        <f aca="false">IF(A442&lt;=Resultados!$B$9,Resultados!$B$10,0)</f>
        <v>0</v>
      </c>
      <c r="D442" s="9" t="n">
        <f aca="false">Resultados!$E$37*$B442-Resultados!$F$37*$B442-Premissas!$B$24-Resultados!$E$37*$B442*(Premissas!$B$14/100)</f>
        <v>19027</v>
      </c>
      <c r="E442" s="9" t="n">
        <f aca="false">D442-$C442</f>
        <v>19027</v>
      </c>
      <c r="F442" s="9" t="n">
        <f aca="false">F441+E442</f>
        <v>7944222.9</v>
      </c>
      <c r="G442" s="37" t="str">
        <f aca="false">IF(AND(F441&lt;0,F442&gt;=0,A442&lt;=MAX(120,Premissas!$B$15*12)),(A442-1)+(-F441)/E442,"")</f>
        <v/>
      </c>
      <c r="H442" s="9" t="n">
        <f aca="false">Resultados!$E$38*$B442-Resultados!$F$38*$B442-Premissas!$B$24-Resultados!$E$38*$B442*(Premissas!$B$14/100)</f>
        <v>24432.4</v>
      </c>
      <c r="I442" s="9" t="n">
        <f aca="false">H442-$C442</f>
        <v>24432.4</v>
      </c>
      <c r="J442" s="9" t="n">
        <f aca="false">J441+I442</f>
        <v>10293950.2800001</v>
      </c>
      <c r="K442" s="37" t="str">
        <f aca="false">IF(AND(J441&lt;0,J442&gt;=0,A442&lt;=MAX(120,Premissas!$B$15*12)),(A442-1)+(-J441)/I442,"")</f>
        <v/>
      </c>
      <c r="L442" s="9" t="n">
        <f aca="false">Resultados!$E$39*$B442-Resultados!$F$39*$B442-Premissas!$B$24-Resultados!$E$39*$B442*(Premissas!$B$14/100)</f>
        <v>29837.8</v>
      </c>
      <c r="M442" s="9" t="n">
        <f aca="false">L442-$C442</f>
        <v>29837.8</v>
      </c>
      <c r="N442" s="9" t="n">
        <f aca="false">N441+M442</f>
        <v>12643677.6600001</v>
      </c>
      <c r="O442" s="37" t="str">
        <f aca="false">IF(AND(N441&lt;0,N442&gt;=0,A442&lt;=MAX(120,Premissas!$B$15*12)),(A442-1)+(-N441)/M442,"")</f>
        <v/>
      </c>
      <c r="P442" s="9" t="n">
        <f aca="false">Resultados!$B$19*$B442-Resultados!$B$20*$B442-Premissas!$B$24-Resultados!$B$19*$B442*(Premissas!$B$14/100)</f>
        <v>24432.4</v>
      </c>
      <c r="Q442" s="9" t="n">
        <f aca="false">P442-$C442</f>
        <v>24432.4</v>
      </c>
      <c r="R442" s="9" t="n">
        <f aca="false">R441+Q442</f>
        <v>10293950.2800001</v>
      </c>
      <c r="S442" s="37" t="str">
        <f aca="false">IF(AND(R441&lt;0,R442&gt;=0,A442&lt;=MAX(120,Premissas!$B$15*12)),(A442-1)+(-R441)/Q442,"")</f>
        <v/>
      </c>
    </row>
    <row r="443" customFormat="false" ht="15" hidden="false" customHeight="false" outlineLevel="0" collapsed="false">
      <c r="A443" s="10" t="n">
        <f aca="false">A442+1</f>
        <v>439</v>
      </c>
      <c r="B443" s="36" t="n">
        <f aca="false">IF(Premissas!$B$9&lt;=1,1,MIN(1,Premissas!$B$8/100+(1-Premissas!$B$8/100)*(A443-1)/(Premissas!$B$9-1)))</f>
        <v>1</v>
      </c>
      <c r="C443" s="9" t="n">
        <f aca="false">IF(A443&lt;=Resultados!$B$9,Resultados!$B$10,0)</f>
        <v>0</v>
      </c>
      <c r="D443" s="9" t="n">
        <f aca="false">Resultados!$E$37*$B443-Resultados!$F$37*$B443-Premissas!$B$24-Resultados!$E$37*$B443*(Premissas!$B$14/100)</f>
        <v>19027</v>
      </c>
      <c r="E443" s="9" t="n">
        <f aca="false">D443-$C443</f>
        <v>19027</v>
      </c>
      <c r="F443" s="9" t="n">
        <f aca="false">F442+E443</f>
        <v>7963249.9</v>
      </c>
      <c r="G443" s="37" t="str">
        <f aca="false">IF(AND(F442&lt;0,F443&gt;=0,A443&lt;=MAX(120,Premissas!$B$15*12)),(A443-1)+(-F442)/E443,"")</f>
        <v/>
      </c>
      <c r="H443" s="9" t="n">
        <f aca="false">Resultados!$E$38*$B443-Resultados!$F$38*$B443-Premissas!$B$24-Resultados!$E$38*$B443*(Premissas!$B$14/100)</f>
        <v>24432.4</v>
      </c>
      <c r="I443" s="9" t="n">
        <f aca="false">H443-$C443</f>
        <v>24432.4</v>
      </c>
      <c r="J443" s="9" t="n">
        <f aca="false">J442+I443</f>
        <v>10318382.6800001</v>
      </c>
      <c r="K443" s="37" t="str">
        <f aca="false">IF(AND(J442&lt;0,J443&gt;=0,A443&lt;=MAX(120,Premissas!$B$15*12)),(A443-1)+(-J442)/I443,"")</f>
        <v/>
      </c>
      <c r="L443" s="9" t="n">
        <f aca="false">Resultados!$E$39*$B443-Resultados!$F$39*$B443-Premissas!$B$24-Resultados!$E$39*$B443*(Premissas!$B$14/100)</f>
        <v>29837.8</v>
      </c>
      <c r="M443" s="9" t="n">
        <f aca="false">L443-$C443</f>
        <v>29837.8</v>
      </c>
      <c r="N443" s="9" t="n">
        <f aca="false">N442+M443</f>
        <v>12673515.4600001</v>
      </c>
      <c r="O443" s="37" t="str">
        <f aca="false">IF(AND(N442&lt;0,N443&gt;=0,A443&lt;=MAX(120,Premissas!$B$15*12)),(A443-1)+(-N442)/M443,"")</f>
        <v/>
      </c>
      <c r="P443" s="9" t="n">
        <f aca="false">Resultados!$B$19*$B443-Resultados!$B$20*$B443-Premissas!$B$24-Resultados!$B$19*$B443*(Premissas!$B$14/100)</f>
        <v>24432.4</v>
      </c>
      <c r="Q443" s="9" t="n">
        <f aca="false">P443-$C443</f>
        <v>24432.4</v>
      </c>
      <c r="R443" s="9" t="n">
        <f aca="false">R442+Q443</f>
        <v>10318382.6800001</v>
      </c>
      <c r="S443" s="37" t="str">
        <f aca="false">IF(AND(R442&lt;0,R443&gt;=0,A443&lt;=MAX(120,Premissas!$B$15*12)),(A443-1)+(-R442)/Q443,"")</f>
        <v/>
      </c>
    </row>
    <row r="444" customFormat="false" ht="15" hidden="false" customHeight="false" outlineLevel="0" collapsed="false">
      <c r="A444" s="10" t="n">
        <f aca="false">A443+1</f>
        <v>440</v>
      </c>
      <c r="B444" s="36" t="n">
        <f aca="false">IF(Premissas!$B$9&lt;=1,1,MIN(1,Premissas!$B$8/100+(1-Premissas!$B$8/100)*(A444-1)/(Premissas!$B$9-1)))</f>
        <v>1</v>
      </c>
      <c r="C444" s="9" t="n">
        <f aca="false">IF(A444&lt;=Resultados!$B$9,Resultados!$B$10,0)</f>
        <v>0</v>
      </c>
      <c r="D444" s="9" t="n">
        <f aca="false">Resultados!$E$37*$B444-Resultados!$F$37*$B444-Premissas!$B$24-Resultados!$E$37*$B444*(Premissas!$B$14/100)</f>
        <v>19027</v>
      </c>
      <c r="E444" s="9" t="n">
        <f aca="false">D444-$C444</f>
        <v>19027</v>
      </c>
      <c r="F444" s="9" t="n">
        <f aca="false">F443+E444</f>
        <v>7982276.9</v>
      </c>
      <c r="G444" s="37" t="str">
        <f aca="false">IF(AND(F443&lt;0,F444&gt;=0,A444&lt;=MAX(120,Premissas!$B$15*12)),(A444-1)+(-F443)/E444,"")</f>
        <v/>
      </c>
      <c r="H444" s="9" t="n">
        <f aca="false">Resultados!$E$38*$B444-Resultados!$F$38*$B444-Premissas!$B$24-Resultados!$E$38*$B444*(Premissas!$B$14/100)</f>
        <v>24432.4</v>
      </c>
      <c r="I444" s="9" t="n">
        <f aca="false">H444-$C444</f>
        <v>24432.4</v>
      </c>
      <c r="J444" s="9" t="n">
        <f aca="false">J443+I444</f>
        <v>10342815.0800001</v>
      </c>
      <c r="K444" s="37" t="str">
        <f aca="false">IF(AND(J443&lt;0,J444&gt;=0,A444&lt;=MAX(120,Premissas!$B$15*12)),(A444-1)+(-J443)/I444,"")</f>
        <v/>
      </c>
      <c r="L444" s="9" t="n">
        <f aca="false">Resultados!$E$39*$B444-Resultados!$F$39*$B444-Premissas!$B$24-Resultados!$E$39*$B444*(Premissas!$B$14/100)</f>
        <v>29837.8</v>
      </c>
      <c r="M444" s="9" t="n">
        <f aca="false">L444-$C444</f>
        <v>29837.8</v>
      </c>
      <c r="N444" s="9" t="n">
        <f aca="false">N443+M444</f>
        <v>12703353.2600001</v>
      </c>
      <c r="O444" s="37" t="str">
        <f aca="false">IF(AND(N443&lt;0,N444&gt;=0,A444&lt;=MAX(120,Premissas!$B$15*12)),(A444-1)+(-N443)/M444,"")</f>
        <v/>
      </c>
      <c r="P444" s="9" t="n">
        <f aca="false">Resultados!$B$19*$B444-Resultados!$B$20*$B444-Premissas!$B$24-Resultados!$B$19*$B444*(Premissas!$B$14/100)</f>
        <v>24432.4</v>
      </c>
      <c r="Q444" s="9" t="n">
        <f aca="false">P444-$C444</f>
        <v>24432.4</v>
      </c>
      <c r="R444" s="9" t="n">
        <f aca="false">R443+Q444</f>
        <v>10342815.0800001</v>
      </c>
      <c r="S444" s="37" t="str">
        <f aca="false">IF(AND(R443&lt;0,R444&gt;=0,A444&lt;=MAX(120,Premissas!$B$15*12)),(A444-1)+(-R443)/Q444,"")</f>
        <v/>
      </c>
    </row>
    <row r="445" customFormat="false" ht="15" hidden="false" customHeight="false" outlineLevel="0" collapsed="false">
      <c r="A445" s="10" t="n">
        <f aca="false">A444+1</f>
        <v>441</v>
      </c>
      <c r="B445" s="36" t="n">
        <f aca="false">IF(Premissas!$B$9&lt;=1,1,MIN(1,Premissas!$B$8/100+(1-Premissas!$B$8/100)*(A445-1)/(Premissas!$B$9-1)))</f>
        <v>1</v>
      </c>
      <c r="C445" s="9" t="n">
        <f aca="false">IF(A445&lt;=Resultados!$B$9,Resultados!$B$10,0)</f>
        <v>0</v>
      </c>
      <c r="D445" s="9" t="n">
        <f aca="false">Resultados!$E$37*$B445-Resultados!$F$37*$B445-Premissas!$B$24-Resultados!$E$37*$B445*(Premissas!$B$14/100)</f>
        <v>19027</v>
      </c>
      <c r="E445" s="9" t="n">
        <f aca="false">D445-$C445</f>
        <v>19027</v>
      </c>
      <c r="F445" s="9" t="n">
        <f aca="false">F444+E445</f>
        <v>8001303.9</v>
      </c>
      <c r="G445" s="37" t="str">
        <f aca="false">IF(AND(F444&lt;0,F445&gt;=0,A445&lt;=MAX(120,Premissas!$B$15*12)),(A445-1)+(-F444)/E445,"")</f>
        <v/>
      </c>
      <c r="H445" s="9" t="n">
        <f aca="false">Resultados!$E$38*$B445-Resultados!$F$38*$B445-Premissas!$B$24-Resultados!$E$38*$B445*(Premissas!$B$14/100)</f>
        <v>24432.4</v>
      </c>
      <c r="I445" s="9" t="n">
        <f aca="false">H445-$C445</f>
        <v>24432.4</v>
      </c>
      <c r="J445" s="9" t="n">
        <f aca="false">J444+I445</f>
        <v>10367247.4800001</v>
      </c>
      <c r="K445" s="37" t="str">
        <f aca="false">IF(AND(J444&lt;0,J445&gt;=0,A445&lt;=MAX(120,Premissas!$B$15*12)),(A445-1)+(-J444)/I445,"")</f>
        <v/>
      </c>
      <c r="L445" s="9" t="n">
        <f aca="false">Resultados!$E$39*$B445-Resultados!$F$39*$B445-Premissas!$B$24-Resultados!$E$39*$B445*(Premissas!$B$14/100)</f>
        <v>29837.8</v>
      </c>
      <c r="M445" s="9" t="n">
        <f aca="false">L445-$C445</f>
        <v>29837.8</v>
      </c>
      <c r="N445" s="9" t="n">
        <f aca="false">N444+M445</f>
        <v>12733191.0600001</v>
      </c>
      <c r="O445" s="37" t="str">
        <f aca="false">IF(AND(N444&lt;0,N445&gt;=0,A445&lt;=MAX(120,Premissas!$B$15*12)),(A445-1)+(-N444)/M445,"")</f>
        <v/>
      </c>
      <c r="P445" s="9" t="n">
        <f aca="false">Resultados!$B$19*$B445-Resultados!$B$20*$B445-Premissas!$B$24-Resultados!$B$19*$B445*(Premissas!$B$14/100)</f>
        <v>24432.4</v>
      </c>
      <c r="Q445" s="9" t="n">
        <f aca="false">P445-$C445</f>
        <v>24432.4</v>
      </c>
      <c r="R445" s="9" t="n">
        <f aca="false">R444+Q445</f>
        <v>10367247.4800001</v>
      </c>
      <c r="S445" s="37" t="str">
        <f aca="false">IF(AND(R444&lt;0,R445&gt;=0,A445&lt;=MAX(120,Premissas!$B$15*12)),(A445-1)+(-R444)/Q445,"")</f>
        <v/>
      </c>
    </row>
    <row r="446" customFormat="false" ht="15" hidden="false" customHeight="false" outlineLevel="0" collapsed="false">
      <c r="A446" s="10" t="n">
        <f aca="false">A445+1</f>
        <v>442</v>
      </c>
      <c r="B446" s="36" t="n">
        <f aca="false">IF(Premissas!$B$9&lt;=1,1,MIN(1,Premissas!$B$8/100+(1-Premissas!$B$8/100)*(A446-1)/(Premissas!$B$9-1)))</f>
        <v>1</v>
      </c>
      <c r="C446" s="9" t="n">
        <f aca="false">IF(A446&lt;=Resultados!$B$9,Resultados!$B$10,0)</f>
        <v>0</v>
      </c>
      <c r="D446" s="9" t="n">
        <f aca="false">Resultados!$E$37*$B446-Resultados!$F$37*$B446-Premissas!$B$24-Resultados!$E$37*$B446*(Premissas!$B$14/100)</f>
        <v>19027</v>
      </c>
      <c r="E446" s="9" t="n">
        <f aca="false">D446-$C446</f>
        <v>19027</v>
      </c>
      <c r="F446" s="9" t="n">
        <f aca="false">F445+E446</f>
        <v>8020330.9</v>
      </c>
      <c r="G446" s="37" t="str">
        <f aca="false">IF(AND(F445&lt;0,F446&gt;=0,A446&lt;=MAX(120,Premissas!$B$15*12)),(A446-1)+(-F445)/E446,"")</f>
        <v/>
      </c>
      <c r="H446" s="9" t="n">
        <f aca="false">Resultados!$E$38*$B446-Resultados!$F$38*$B446-Premissas!$B$24-Resultados!$E$38*$B446*(Premissas!$B$14/100)</f>
        <v>24432.4</v>
      </c>
      <c r="I446" s="9" t="n">
        <f aca="false">H446-$C446</f>
        <v>24432.4</v>
      </c>
      <c r="J446" s="9" t="n">
        <f aca="false">J445+I446</f>
        <v>10391679.8800001</v>
      </c>
      <c r="K446" s="37" t="str">
        <f aca="false">IF(AND(J445&lt;0,J446&gt;=0,A446&lt;=MAX(120,Premissas!$B$15*12)),(A446-1)+(-J445)/I446,"")</f>
        <v/>
      </c>
      <c r="L446" s="9" t="n">
        <f aca="false">Resultados!$E$39*$B446-Resultados!$F$39*$B446-Premissas!$B$24-Resultados!$E$39*$B446*(Premissas!$B$14/100)</f>
        <v>29837.8</v>
      </c>
      <c r="M446" s="9" t="n">
        <f aca="false">L446-$C446</f>
        <v>29837.8</v>
      </c>
      <c r="N446" s="9" t="n">
        <f aca="false">N445+M446</f>
        <v>12763028.8600001</v>
      </c>
      <c r="O446" s="37" t="str">
        <f aca="false">IF(AND(N445&lt;0,N446&gt;=0,A446&lt;=MAX(120,Premissas!$B$15*12)),(A446-1)+(-N445)/M446,"")</f>
        <v/>
      </c>
      <c r="P446" s="9" t="n">
        <f aca="false">Resultados!$B$19*$B446-Resultados!$B$20*$B446-Premissas!$B$24-Resultados!$B$19*$B446*(Premissas!$B$14/100)</f>
        <v>24432.4</v>
      </c>
      <c r="Q446" s="9" t="n">
        <f aca="false">P446-$C446</f>
        <v>24432.4</v>
      </c>
      <c r="R446" s="9" t="n">
        <f aca="false">R445+Q446</f>
        <v>10391679.8800001</v>
      </c>
      <c r="S446" s="37" t="str">
        <f aca="false">IF(AND(R445&lt;0,R446&gt;=0,A446&lt;=MAX(120,Premissas!$B$15*12)),(A446-1)+(-R445)/Q446,"")</f>
        <v/>
      </c>
    </row>
    <row r="447" customFormat="false" ht="15" hidden="false" customHeight="false" outlineLevel="0" collapsed="false">
      <c r="A447" s="10" t="n">
        <f aca="false">A446+1</f>
        <v>443</v>
      </c>
      <c r="B447" s="36" t="n">
        <f aca="false">IF(Premissas!$B$9&lt;=1,1,MIN(1,Premissas!$B$8/100+(1-Premissas!$B$8/100)*(A447-1)/(Premissas!$B$9-1)))</f>
        <v>1</v>
      </c>
      <c r="C447" s="9" t="n">
        <f aca="false">IF(A447&lt;=Resultados!$B$9,Resultados!$B$10,0)</f>
        <v>0</v>
      </c>
      <c r="D447" s="9" t="n">
        <f aca="false">Resultados!$E$37*$B447-Resultados!$F$37*$B447-Premissas!$B$24-Resultados!$E$37*$B447*(Premissas!$B$14/100)</f>
        <v>19027</v>
      </c>
      <c r="E447" s="9" t="n">
        <f aca="false">D447-$C447</f>
        <v>19027</v>
      </c>
      <c r="F447" s="9" t="n">
        <f aca="false">F446+E447</f>
        <v>8039357.9</v>
      </c>
      <c r="G447" s="37" t="str">
        <f aca="false">IF(AND(F446&lt;0,F447&gt;=0,A447&lt;=MAX(120,Premissas!$B$15*12)),(A447-1)+(-F446)/E447,"")</f>
        <v/>
      </c>
      <c r="H447" s="9" t="n">
        <f aca="false">Resultados!$E$38*$B447-Resultados!$F$38*$B447-Premissas!$B$24-Resultados!$E$38*$B447*(Premissas!$B$14/100)</f>
        <v>24432.4</v>
      </c>
      <c r="I447" s="9" t="n">
        <f aca="false">H447-$C447</f>
        <v>24432.4</v>
      </c>
      <c r="J447" s="9" t="n">
        <f aca="false">J446+I447</f>
        <v>10416112.2800001</v>
      </c>
      <c r="K447" s="37" t="str">
        <f aca="false">IF(AND(J446&lt;0,J447&gt;=0,A447&lt;=MAX(120,Premissas!$B$15*12)),(A447-1)+(-J446)/I447,"")</f>
        <v/>
      </c>
      <c r="L447" s="9" t="n">
        <f aca="false">Resultados!$E$39*$B447-Resultados!$F$39*$B447-Premissas!$B$24-Resultados!$E$39*$B447*(Premissas!$B$14/100)</f>
        <v>29837.8</v>
      </c>
      <c r="M447" s="9" t="n">
        <f aca="false">L447-$C447</f>
        <v>29837.8</v>
      </c>
      <c r="N447" s="9" t="n">
        <f aca="false">N446+M447</f>
        <v>12792866.6600001</v>
      </c>
      <c r="O447" s="37" t="str">
        <f aca="false">IF(AND(N446&lt;0,N447&gt;=0,A447&lt;=MAX(120,Premissas!$B$15*12)),(A447-1)+(-N446)/M447,"")</f>
        <v/>
      </c>
      <c r="P447" s="9" t="n">
        <f aca="false">Resultados!$B$19*$B447-Resultados!$B$20*$B447-Premissas!$B$24-Resultados!$B$19*$B447*(Premissas!$B$14/100)</f>
        <v>24432.4</v>
      </c>
      <c r="Q447" s="9" t="n">
        <f aca="false">P447-$C447</f>
        <v>24432.4</v>
      </c>
      <c r="R447" s="9" t="n">
        <f aca="false">R446+Q447</f>
        <v>10416112.2800001</v>
      </c>
      <c r="S447" s="37" t="str">
        <f aca="false">IF(AND(R446&lt;0,R447&gt;=0,A447&lt;=MAX(120,Premissas!$B$15*12)),(A447-1)+(-R446)/Q447,"")</f>
        <v/>
      </c>
    </row>
    <row r="448" customFormat="false" ht="15" hidden="false" customHeight="false" outlineLevel="0" collapsed="false">
      <c r="A448" s="10" t="n">
        <f aca="false">A447+1</f>
        <v>444</v>
      </c>
      <c r="B448" s="36" t="n">
        <f aca="false">IF(Premissas!$B$9&lt;=1,1,MIN(1,Premissas!$B$8/100+(1-Premissas!$B$8/100)*(A448-1)/(Premissas!$B$9-1)))</f>
        <v>1</v>
      </c>
      <c r="C448" s="9" t="n">
        <f aca="false">IF(A448&lt;=Resultados!$B$9,Resultados!$B$10,0)</f>
        <v>0</v>
      </c>
      <c r="D448" s="9" t="n">
        <f aca="false">Resultados!$E$37*$B448-Resultados!$F$37*$B448-Premissas!$B$24-Resultados!$E$37*$B448*(Premissas!$B$14/100)</f>
        <v>19027</v>
      </c>
      <c r="E448" s="9" t="n">
        <f aca="false">D448-$C448</f>
        <v>19027</v>
      </c>
      <c r="F448" s="9" t="n">
        <f aca="false">F447+E448</f>
        <v>8058384.9</v>
      </c>
      <c r="G448" s="37" t="str">
        <f aca="false">IF(AND(F447&lt;0,F448&gt;=0,A448&lt;=MAX(120,Premissas!$B$15*12)),(A448-1)+(-F447)/E448,"")</f>
        <v/>
      </c>
      <c r="H448" s="9" t="n">
        <f aca="false">Resultados!$E$38*$B448-Resultados!$F$38*$B448-Premissas!$B$24-Resultados!$E$38*$B448*(Premissas!$B$14/100)</f>
        <v>24432.4</v>
      </c>
      <c r="I448" s="9" t="n">
        <f aca="false">H448-$C448</f>
        <v>24432.4</v>
      </c>
      <c r="J448" s="9" t="n">
        <f aca="false">J447+I448</f>
        <v>10440544.6800001</v>
      </c>
      <c r="K448" s="37" t="str">
        <f aca="false">IF(AND(J447&lt;0,J448&gt;=0,A448&lt;=MAX(120,Premissas!$B$15*12)),(A448-1)+(-J447)/I448,"")</f>
        <v/>
      </c>
      <c r="L448" s="9" t="n">
        <f aca="false">Resultados!$E$39*$B448-Resultados!$F$39*$B448-Premissas!$B$24-Resultados!$E$39*$B448*(Premissas!$B$14/100)</f>
        <v>29837.8</v>
      </c>
      <c r="M448" s="9" t="n">
        <f aca="false">L448-$C448</f>
        <v>29837.8</v>
      </c>
      <c r="N448" s="9" t="n">
        <f aca="false">N447+M448</f>
        <v>12822704.4600001</v>
      </c>
      <c r="O448" s="37" t="str">
        <f aca="false">IF(AND(N447&lt;0,N448&gt;=0,A448&lt;=MAX(120,Premissas!$B$15*12)),(A448-1)+(-N447)/M448,"")</f>
        <v/>
      </c>
      <c r="P448" s="9" t="n">
        <f aca="false">Resultados!$B$19*$B448-Resultados!$B$20*$B448-Premissas!$B$24-Resultados!$B$19*$B448*(Premissas!$B$14/100)</f>
        <v>24432.4</v>
      </c>
      <c r="Q448" s="9" t="n">
        <f aca="false">P448-$C448</f>
        <v>24432.4</v>
      </c>
      <c r="R448" s="9" t="n">
        <f aca="false">R447+Q448</f>
        <v>10440544.6800001</v>
      </c>
      <c r="S448" s="37" t="str">
        <f aca="false">IF(AND(R447&lt;0,R448&gt;=0,A448&lt;=MAX(120,Premissas!$B$15*12)),(A448-1)+(-R447)/Q448,"")</f>
        <v/>
      </c>
    </row>
    <row r="449" customFormat="false" ht="15" hidden="false" customHeight="false" outlineLevel="0" collapsed="false">
      <c r="A449" s="10" t="n">
        <f aca="false">A448+1</f>
        <v>445</v>
      </c>
      <c r="B449" s="36" t="n">
        <f aca="false">IF(Premissas!$B$9&lt;=1,1,MIN(1,Premissas!$B$8/100+(1-Premissas!$B$8/100)*(A449-1)/(Premissas!$B$9-1)))</f>
        <v>1</v>
      </c>
      <c r="C449" s="9" t="n">
        <f aca="false">IF(A449&lt;=Resultados!$B$9,Resultados!$B$10,0)</f>
        <v>0</v>
      </c>
      <c r="D449" s="9" t="n">
        <f aca="false">Resultados!$E$37*$B449-Resultados!$F$37*$B449-Premissas!$B$24-Resultados!$E$37*$B449*(Premissas!$B$14/100)</f>
        <v>19027</v>
      </c>
      <c r="E449" s="9" t="n">
        <f aca="false">D449-$C449</f>
        <v>19027</v>
      </c>
      <c r="F449" s="9" t="n">
        <f aca="false">F448+E449</f>
        <v>8077411.9</v>
      </c>
      <c r="G449" s="37" t="str">
        <f aca="false">IF(AND(F448&lt;0,F449&gt;=0,A449&lt;=MAX(120,Premissas!$B$15*12)),(A449-1)+(-F448)/E449,"")</f>
        <v/>
      </c>
      <c r="H449" s="9" t="n">
        <f aca="false">Resultados!$E$38*$B449-Resultados!$F$38*$B449-Premissas!$B$24-Resultados!$E$38*$B449*(Premissas!$B$14/100)</f>
        <v>24432.4</v>
      </c>
      <c r="I449" s="9" t="n">
        <f aca="false">H449-$C449</f>
        <v>24432.4</v>
      </c>
      <c r="J449" s="9" t="n">
        <f aca="false">J448+I449</f>
        <v>10464977.0800001</v>
      </c>
      <c r="K449" s="37" t="str">
        <f aca="false">IF(AND(J448&lt;0,J449&gt;=0,A449&lt;=MAX(120,Premissas!$B$15*12)),(A449-1)+(-J448)/I449,"")</f>
        <v/>
      </c>
      <c r="L449" s="9" t="n">
        <f aca="false">Resultados!$E$39*$B449-Resultados!$F$39*$B449-Premissas!$B$24-Resultados!$E$39*$B449*(Premissas!$B$14/100)</f>
        <v>29837.8</v>
      </c>
      <c r="M449" s="9" t="n">
        <f aca="false">L449-$C449</f>
        <v>29837.8</v>
      </c>
      <c r="N449" s="9" t="n">
        <f aca="false">N448+M449</f>
        <v>12852542.2600001</v>
      </c>
      <c r="O449" s="37" t="str">
        <f aca="false">IF(AND(N448&lt;0,N449&gt;=0,A449&lt;=MAX(120,Premissas!$B$15*12)),(A449-1)+(-N448)/M449,"")</f>
        <v/>
      </c>
      <c r="P449" s="9" t="n">
        <f aca="false">Resultados!$B$19*$B449-Resultados!$B$20*$B449-Premissas!$B$24-Resultados!$B$19*$B449*(Premissas!$B$14/100)</f>
        <v>24432.4</v>
      </c>
      <c r="Q449" s="9" t="n">
        <f aca="false">P449-$C449</f>
        <v>24432.4</v>
      </c>
      <c r="R449" s="9" t="n">
        <f aca="false">R448+Q449</f>
        <v>10464977.0800001</v>
      </c>
      <c r="S449" s="37" t="str">
        <f aca="false">IF(AND(R448&lt;0,R449&gt;=0,A449&lt;=MAX(120,Premissas!$B$15*12)),(A449-1)+(-R448)/Q449,"")</f>
        <v/>
      </c>
    </row>
    <row r="450" customFormat="false" ht="15" hidden="false" customHeight="false" outlineLevel="0" collapsed="false">
      <c r="A450" s="10" t="n">
        <f aca="false">A449+1</f>
        <v>446</v>
      </c>
      <c r="B450" s="36" t="n">
        <f aca="false">IF(Premissas!$B$9&lt;=1,1,MIN(1,Premissas!$B$8/100+(1-Premissas!$B$8/100)*(A450-1)/(Premissas!$B$9-1)))</f>
        <v>1</v>
      </c>
      <c r="C450" s="9" t="n">
        <f aca="false">IF(A450&lt;=Resultados!$B$9,Resultados!$B$10,0)</f>
        <v>0</v>
      </c>
      <c r="D450" s="9" t="n">
        <f aca="false">Resultados!$E$37*$B450-Resultados!$F$37*$B450-Premissas!$B$24-Resultados!$E$37*$B450*(Premissas!$B$14/100)</f>
        <v>19027</v>
      </c>
      <c r="E450" s="9" t="n">
        <f aca="false">D450-$C450</f>
        <v>19027</v>
      </c>
      <c r="F450" s="9" t="n">
        <f aca="false">F449+E450</f>
        <v>8096438.9</v>
      </c>
      <c r="G450" s="37" t="str">
        <f aca="false">IF(AND(F449&lt;0,F450&gt;=0,A450&lt;=MAX(120,Premissas!$B$15*12)),(A450-1)+(-F449)/E450,"")</f>
        <v/>
      </c>
      <c r="H450" s="9" t="n">
        <f aca="false">Resultados!$E$38*$B450-Resultados!$F$38*$B450-Premissas!$B$24-Resultados!$E$38*$B450*(Premissas!$B$14/100)</f>
        <v>24432.4</v>
      </c>
      <c r="I450" s="9" t="n">
        <f aca="false">H450-$C450</f>
        <v>24432.4</v>
      </c>
      <c r="J450" s="9" t="n">
        <f aca="false">J449+I450</f>
        <v>10489409.4800001</v>
      </c>
      <c r="K450" s="37" t="str">
        <f aca="false">IF(AND(J449&lt;0,J450&gt;=0,A450&lt;=MAX(120,Premissas!$B$15*12)),(A450-1)+(-J449)/I450,"")</f>
        <v/>
      </c>
      <c r="L450" s="9" t="n">
        <f aca="false">Resultados!$E$39*$B450-Resultados!$F$39*$B450-Premissas!$B$24-Resultados!$E$39*$B450*(Premissas!$B$14/100)</f>
        <v>29837.8</v>
      </c>
      <c r="M450" s="9" t="n">
        <f aca="false">L450-$C450</f>
        <v>29837.8</v>
      </c>
      <c r="N450" s="9" t="n">
        <f aca="false">N449+M450</f>
        <v>12882380.0600001</v>
      </c>
      <c r="O450" s="37" t="str">
        <f aca="false">IF(AND(N449&lt;0,N450&gt;=0,A450&lt;=MAX(120,Premissas!$B$15*12)),(A450-1)+(-N449)/M450,"")</f>
        <v/>
      </c>
      <c r="P450" s="9" t="n">
        <f aca="false">Resultados!$B$19*$B450-Resultados!$B$20*$B450-Premissas!$B$24-Resultados!$B$19*$B450*(Premissas!$B$14/100)</f>
        <v>24432.4</v>
      </c>
      <c r="Q450" s="9" t="n">
        <f aca="false">P450-$C450</f>
        <v>24432.4</v>
      </c>
      <c r="R450" s="9" t="n">
        <f aca="false">R449+Q450</f>
        <v>10489409.4800001</v>
      </c>
      <c r="S450" s="37" t="str">
        <f aca="false">IF(AND(R449&lt;0,R450&gt;=0,A450&lt;=MAX(120,Premissas!$B$15*12)),(A450-1)+(-R449)/Q450,"")</f>
        <v/>
      </c>
    </row>
    <row r="451" customFormat="false" ht="15" hidden="false" customHeight="false" outlineLevel="0" collapsed="false">
      <c r="A451" s="10" t="n">
        <f aca="false">A450+1</f>
        <v>447</v>
      </c>
      <c r="B451" s="36" t="n">
        <f aca="false">IF(Premissas!$B$9&lt;=1,1,MIN(1,Premissas!$B$8/100+(1-Premissas!$B$8/100)*(A451-1)/(Premissas!$B$9-1)))</f>
        <v>1</v>
      </c>
      <c r="C451" s="9" t="n">
        <f aca="false">IF(A451&lt;=Resultados!$B$9,Resultados!$B$10,0)</f>
        <v>0</v>
      </c>
      <c r="D451" s="9" t="n">
        <f aca="false">Resultados!$E$37*$B451-Resultados!$F$37*$B451-Premissas!$B$24-Resultados!$E$37*$B451*(Premissas!$B$14/100)</f>
        <v>19027</v>
      </c>
      <c r="E451" s="9" t="n">
        <f aca="false">D451-$C451</f>
        <v>19027</v>
      </c>
      <c r="F451" s="9" t="n">
        <f aca="false">F450+E451</f>
        <v>8115465.9</v>
      </c>
      <c r="G451" s="37" t="str">
        <f aca="false">IF(AND(F450&lt;0,F451&gt;=0,A451&lt;=MAX(120,Premissas!$B$15*12)),(A451-1)+(-F450)/E451,"")</f>
        <v/>
      </c>
      <c r="H451" s="9" t="n">
        <f aca="false">Resultados!$E$38*$B451-Resultados!$F$38*$B451-Premissas!$B$24-Resultados!$E$38*$B451*(Premissas!$B$14/100)</f>
        <v>24432.4</v>
      </c>
      <c r="I451" s="9" t="n">
        <f aca="false">H451-$C451</f>
        <v>24432.4</v>
      </c>
      <c r="J451" s="9" t="n">
        <f aca="false">J450+I451</f>
        <v>10513841.8800001</v>
      </c>
      <c r="K451" s="37" t="str">
        <f aca="false">IF(AND(J450&lt;0,J451&gt;=0,A451&lt;=MAX(120,Premissas!$B$15*12)),(A451-1)+(-J450)/I451,"")</f>
        <v/>
      </c>
      <c r="L451" s="9" t="n">
        <f aca="false">Resultados!$E$39*$B451-Resultados!$F$39*$B451-Premissas!$B$24-Resultados!$E$39*$B451*(Premissas!$B$14/100)</f>
        <v>29837.8</v>
      </c>
      <c r="M451" s="9" t="n">
        <f aca="false">L451-$C451</f>
        <v>29837.8</v>
      </c>
      <c r="N451" s="9" t="n">
        <f aca="false">N450+M451</f>
        <v>12912217.8600001</v>
      </c>
      <c r="O451" s="37" t="str">
        <f aca="false">IF(AND(N450&lt;0,N451&gt;=0,A451&lt;=MAX(120,Premissas!$B$15*12)),(A451-1)+(-N450)/M451,"")</f>
        <v/>
      </c>
      <c r="P451" s="9" t="n">
        <f aca="false">Resultados!$B$19*$B451-Resultados!$B$20*$B451-Premissas!$B$24-Resultados!$B$19*$B451*(Premissas!$B$14/100)</f>
        <v>24432.4</v>
      </c>
      <c r="Q451" s="9" t="n">
        <f aca="false">P451-$C451</f>
        <v>24432.4</v>
      </c>
      <c r="R451" s="9" t="n">
        <f aca="false">R450+Q451</f>
        <v>10513841.8800001</v>
      </c>
      <c r="S451" s="37" t="str">
        <f aca="false">IF(AND(R450&lt;0,R451&gt;=0,A451&lt;=MAX(120,Premissas!$B$15*12)),(A451-1)+(-R450)/Q451,"")</f>
        <v/>
      </c>
    </row>
    <row r="452" customFormat="false" ht="15" hidden="false" customHeight="false" outlineLevel="0" collapsed="false">
      <c r="A452" s="10" t="n">
        <f aca="false">A451+1</f>
        <v>448</v>
      </c>
      <c r="B452" s="36" t="n">
        <f aca="false">IF(Premissas!$B$9&lt;=1,1,MIN(1,Premissas!$B$8/100+(1-Premissas!$B$8/100)*(A452-1)/(Premissas!$B$9-1)))</f>
        <v>1</v>
      </c>
      <c r="C452" s="9" t="n">
        <f aca="false">IF(A452&lt;=Resultados!$B$9,Resultados!$B$10,0)</f>
        <v>0</v>
      </c>
      <c r="D452" s="9" t="n">
        <f aca="false">Resultados!$E$37*$B452-Resultados!$F$37*$B452-Premissas!$B$24-Resultados!$E$37*$B452*(Premissas!$B$14/100)</f>
        <v>19027</v>
      </c>
      <c r="E452" s="9" t="n">
        <f aca="false">D452-$C452</f>
        <v>19027</v>
      </c>
      <c r="F452" s="9" t="n">
        <f aca="false">F451+E452</f>
        <v>8134492.9</v>
      </c>
      <c r="G452" s="37" t="str">
        <f aca="false">IF(AND(F451&lt;0,F452&gt;=0,A452&lt;=MAX(120,Premissas!$B$15*12)),(A452-1)+(-F451)/E452,"")</f>
        <v/>
      </c>
      <c r="H452" s="9" t="n">
        <f aca="false">Resultados!$E$38*$B452-Resultados!$F$38*$B452-Premissas!$B$24-Resultados!$E$38*$B452*(Premissas!$B$14/100)</f>
        <v>24432.4</v>
      </c>
      <c r="I452" s="9" t="n">
        <f aca="false">H452-$C452</f>
        <v>24432.4</v>
      </c>
      <c r="J452" s="9" t="n">
        <f aca="false">J451+I452</f>
        <v>10538274.2800001</v>
      </c>
      <c r="K452" s="37" t="str">
        <f aca="false">IF(AND(J451&lt;0,J452&gt;=0,A452&lt;=MAX(120,Premissas!$B$15*12)),(A452-1)+(-J451)/I452,"")</f>
        <v/>
      </c>
      <c r="L452" s="9" t="n">
        <f aca="false">Resultados!$E$39*$B452-Resultados!$F$39*$B452-Premissas!$B$24-Resultados!$E$39*$B452*(Premissas!$B$14/100)</f>
        <v>29837.8</v>
      </c>
      <c r="M452" s="9" t="n">
        <f aca="false">L452-$C452</f>
        <v>29837.8</v>
      </c>
      <c r="N452" s="9" t="n">
        <f aca="false">N451+M452</f>
        <v>12942055.6600001</v>
      </c>
      <c r="O452" s="37" t="str">
        <f aca="false">IF(AND(N451&lt;0,N452&gt;=0,A452&lt;=MAX(120,Premissas!$B$15*12)),(A452-1)+(-N451)/M452,"")</f>
        <v/>
      </c>
      <c r="P452" s="9" t="n">
        <f aca="false">Resultados!$B$19*$B452-Resultados!$B$20*$B452-Premissas!$B$24-Resultados!$B$19*$B452*(Premissas!$B$14/100)</f>
        <v>24432.4</v>
      </c>
      <c r="Q452" s="9" t="n">
        <f aca="false">P452-$C452</f>
        <v>24432.4</v>
      </c>
      <c r="R452" s="9" t="n">
        <f aca="false">R451+Q452</f>
        <v>10538274.2800001</v>
      </c>
      <c r="S452" s="37" t="str">
        <f aca="false">IF(AND(R451&lt;0,R452&gt;=0,A452&lt;=MAX(120,Premissas!$B$15*12)),(A452-1)+(-R451)/Q452,"")</f>
        <v/>
      </c>
    </row>
    <row r="453" customFormat="false" ht="15" hidden="false" customHeight="false" outlineLevel="0" collapsed="false">
      <c r="A453" s="10" t="n">
        <f aca="false">A452+1</f>
        <v>449</v>
      </c>
      <c r="B453" s="36" t="n">
        <f aca="false">IF(Premissas!$B$9&lt;=1,1,MIN(1,Premissas!$B$8/100+(1-Premissas!$B$8/100)*(A453-1)/(Premissas!$B$9-1)))</f>
        <v>1</v>
      </c>
      <c r="C453" s="9" t="n">
        <f aca="false">IF(A453&lt;=Resultados!$B$9,Resultados!$B$10,0)</f>
        <v>0</v>
      </c>
      <c r="D453" s="9" t="n">
        <f aca="false">Resultados!$E$37*$B453-Resultados!$F$37*$B453-Premissas!$B$24-Resultados!$E$37*$B453*(Premissas!$B$14/100)</f>
        <v>19027</v>
      </c>
      <c r="E453" s="9" t="n">
        <f aca="false">D453-$C453</f>
        <v>19027</v>
      </c>
      <c r="F453" s="9" t="n">
        <f aca="false">F452+E453</f>
        <v>8153519.9</v>
      </c>
      <c r="G453" s="37" t="str">
        <f aca="false">IF(AND(F452&lt;0,F453&gt;=0,A453&lt;=MAX(120,Premissas!$B$15*12)),(A453-1)+(-F452)/E453,"")</f>
        <v/>
      </c>
      <c r="H453" s="9" t="n">
        <f aca="false">Resultados!$E$38*$B453-Resultados!$F$38*$B453-Premissas!$B$24-Resultados!$E$38*$B453*(Premissas!$B$14/100)</f>
        <v>24432.4</v>
      </c>
      <c r="I453" s="9" t="n">
        <f aca="false">H453-$C453</f>
        <v>24432.4</v>
      </c>
      <c r="J453" s="9" t="n">
        <f aca="false">J452+I453</f>
        <v>10562706.6800001</v>
      </c>
      <c r="K453" s="37" t="str">
        <f aca="false">IF(AND(J452&lt;0,J453&gt;=0,A453&lt;=MAX(120,Premissas!$B$15*12)),(A453-1)+(-J452)/I453,"")</f>
        <v/>
      </c>
      <c r="L453" s="9" t="n">
        <f aca="false">Resultados!$E$39*$B453-Resultados!$F$39*$B453-Premissas!$B$24-Resultados!$E$39*$B453*(Premissas!$B$14/100)</f>
        <v>29837.8</v>
      </c>
      <c r="M453" s="9" t="n">
        <f aca="false">L453-$C453</f>
        <v>29837.8</v>
      </c>
      <c r="N453" s="9" t="n">
        <f aca="false">N452+M453</f>
        <v>12971893.4600001</v>
      </c>
      <c r="O453" s="37" t="str">
        <f aca="false">IF(AND(N452&lt;0,N453&gt;=0,A453&lt;=MAX(120,Premissas!$B$15*12)),(A453-1)+(-N452)/M453,"")</f>
        <v/>
      </c>
      <c r="P453" s="9" t="n">
        <f aca="false">Resultados!$B$19*$B453-Resultados!$B$20*$B453-Premissas!$B$24-Resultados!$B$19*$B453*(Premissas!$B$14/100)</f>
        <v>24432.4</v>
      </c>
      <c r="Q453" s="9" t="n">
        <f aca="false">P453-$C453</f>
        <v>24432.4</v>
      </c>
      <c r="R453" s="9" t="n">
        <f aca="false">R452+Q453</f>
        <v>10562706.6800001</v>
      </c>
      <c r="S453" s="37" t="str">
        <f aca="false">IF(AND(R452&lt;0,R453&gt;=0,A453&lt;=MAX(120,Premissas!$B$15*12)),(A453-1)+(-R452)/Q453,"")</f>
        <v/>
      </c>
    </row>
    <row r="454" customFormat="false" ht="15" hidden="false" customHeight="false" outlineLevel="0" collapsed="false">
      <c r="A454" s="10" t="n">
        <f aca="false">A453+1</f>
        <v>450</v>
      </c>
      <c r="B454" s="36" t="n">
        <f aca="false">IF(Premissas!$B$9&lt;=1,1,MIN(1,Premissas!$B$8/100+(1-Premissas!$B$8/100)*(A454-1)/(Premissas!$B$9-1)))</f>
        <v>1</v>
      </c>
      <c r="C454" s="9" t="n">
        <f aca="false">IF(A454&lt;=Resultados!$B$9,Resultados!$B$10,0)</f>
        <v>0</v>
      </c>
      <c r="D454" s="9" t="n">
        <f aca="false">Resultados!$E$37*$B454-Resultados!$F$37*$B454-Premissas!$B$24-Resultados!$E$37*$B454*(Premissas!$B$14/100)</f>
        <v>19027</v>
      </c>
      <c r="E454" s="9" t="n">
        <f aca="false">D454-$C454</f>
        <v>19027</v>
      </c>
      <c r="F454" s="9" t="n">
        <f aca="false">F453+E454</f>
        <v>8172546.9</v>
      </c>
      <c r="G454" s="37" t="str">
        <f aca="false">IF(AND(F453&lt;0,F454&gt;=0,A454&lt;=MAX(120,Premissas!$B$15*12)),(A454-1)+(-F453)/E454,"")</f>
        <v/>
      </c>
      <c r="H454" s="9" t="n">
        <f aca="false">Resultados!$E$38*$B454-Resultados!$F$38*$B454-Premissas!$B$24-Resultados!$E$38*$B454*(Premissas!$B$14/100)</f>
        <v>24432.4</v>
      </c>
      <c r="I454" s="9" t="n">
        <f aca="false">H454-$C454</f>
        <v>24432.4</v>
      </c>
      <c r="J454" s="9" t="n">
        <f aca="false">J453+I454</f>
        <v>10587139.0800001</v>
      </c>
      <c r="K454" s="37" t="str">
        <f aca="false">IF(AND(J453&lt;0,J454&gt;=0,A454&lt;=MAX(120,Premissas!$B$15*12)),(A454-1)+(-J453)/I454,"")</f>
        <v/>
      </c>
      <c r="L454" s="9" t="n">
        <f aca="false">Resultados!$E$39*$B454-Resultados!$F$39*$B454-Premissas!$B$24-Resultados!$E$39*$B454*(Premissas!$B$14/100)</f>
        <v>29837.8</v>
      </c>
      <c r="M454" s="9" t="n">
        <f aca="false">L454-$C454</f>
        <v>29837.8</v>
      </c>
      <c r="N454" s="9" t="n">
        <f aca="false">N453+M454</f>
        <v>13001731.2600001</v>
      </c>
      <c r="O454" s="37" t="str">
        <f aca="false">IF(AND(N453&lt;0,N454&gt;=0,A454&lt;=MAX(120,Premissas!$B$15*12)),(A454-1)+(-N453)/M454,"")</f>
        <v/>
      </c>
      <c r="P454" s="9" t="n">
        <f aca="false">Resultados!$B$19*$B454-Resultados!$B$20*$B454-Premissas!$B$24-Resultados!$B$19*$B454*(Premissas!$B$14/100)</f>
        <v>24432.4</v>
      </c>
      <c r="Q454" s="9" t="n">
        <f aca="false">P454-$C454</f>
        <v>24432.4</v>
      </c>
      <c r="R454" s="9" t="n">
        <f aca="false">R453+Q454</f>
        <v>10587139.0800001</v>
      </c>
      <c r="S454" s="37" t="str">
        <f aca="false">IF(AND(R453&lt;0,R454&gt;=0,A454&lt;=MAX(120,Premissas!$B$15*12)),(A454-1)+(-R453)/Q454,"")</f>
        <v/>
      </c>
    </row>
    <row r="455" customFormat="false" ht="15" hidden="false" customHeight="false" outlineLevel="0" collapsed="false">
      <c r="A455" s="10" t="n">
        <f aca="false">A454+1</f>
        <v>451</v>
      </c>
      <c r="B455" s="36" t="n">
        <f aca="false">IF(Premissas!$B$9&lt;=1,1,MIN(1,Premissas!$B$8/100+(1-Premissas!$B$8/100)*(A455-1)/(Premissas!$B$9-1)))</f>
        <v>1</v>
      </c>
      <c r="C455" s="9" t="n">
        <f aca="false">IF(A455&lt;=Resultados!$B$9,Resultados!$B$10,0)</f>
        <v>0</v>
      </c>
      <c r="D455" s="9" t="n">
        <f aca="false">Resultados!$E$37*$B455-Resultados!$F$37*$B455-Premissas!$B$24-Resultados!$E$37*$B455*(Premissas!$B$14/100)</f>
        <v>19027</v>
      </c>
      <c r="E455" s="9" t="n">
        <f aca="false">D455-$C455</f>
        <v>19027</v>
      </c>
      <c r="F455" s="9" t="n">
        <f aca="false">F454+E455</f>
        <v>8191573.9</v>
      </c>
      <c r="G455" s="37" t="str">
        <f aca="false">IF(AND(F454&lt;0,F455&gt;=0,A455&lt;=MAX(120,Premissas!$B$15*12)),(A455-1)+(-F454)/E455,"")</f>
        <v/>
      </c>
      <c r="H455" s="9" t="n">
        <f aca="false">Resultados!$E$38*$B455-Resultados!$F$38*$B455-Premissas!$B$24-Resultados!$E$38*$B455*(Premissas!$B$14/100)</f>
        <v>24432.4</v>
      </c>
      <c r="I455" s="9" t="n">
        <f aca="false">H455-$C455</f>
        <v>24432.4</v>
      </c>
      <c r="J455" s="9" t="n">
        <f aca="false">J454+I455</f>
        <v>10611571.4800001</v>
      </c>
      <c r="K455" s="37" t="str">
        <f aca="false">IF(AND(J454&lt;0,J455&gt;=0,A455&lt;=MAX(120,Premissas!$B$15*12)),(A455-1)+(-J454)/I455,"")</f>
        <v/>
      </c>
      <c r="L455" s="9" t="n">
        <f aca="false">Resultados!$E$39*$B455-Resultados!$F$39*$B455-Premissas!$B$24-Resultados!$E$39*$B455*(Premissas!$B$14/100)</f>
        <v>29837.8</v>
      </c>
      <c r="M455" s="9" t="n">
        <f aca="false">L455-$C455</f>
        <v>29837.8</v>
      </c>
      <c r="N455" s="9" t="n">
        <f aca="false">N454+M455</f>
        <v>13031569.0600001</v>
      </c>
      <c r="O455" s="37" t="str">
        <f aca="false">IF(AND(N454&lt;0,N455&gt;=0,A455&lt;=MAX(120,Premissas!$B$15*12)),(A455-1)+(-N454)/M455,"")</f>
        <v/>
      </c>
      <c r="P455" s="9" t="n">
        <f aca="false">Resultados!$B$19*$B455-Resultados!$B$20*$B455-Premissas!$B$24-Resultados!$B$19*$B455*(Premissas!$B$14/100)</f>
        <v>24432.4</v>
      </c>
      <c r="Q455" s="9" t="n">
        <f aca="false">P455-$C455</f>
        <v>24432.4</v>
      </c>
      <c r="R455" s="9" t="n">
        <f aca="false">R454+Q455</f>
        <v>10611571.4800001</v>
      </c>
      <c r="S455" s="37" t="str">
        <f aca="false">IF(AND(R454&lt;0,R455&gt;=0,A455&lt;=MAX(120,Premissas!$B$15*12)),(A455-1)+(-R454)/Q455,"")</f>
        <v/>
      </c>
    </row>
    <row r="456" customFormat="false" ht="15" hidden="false" customHeight="false" outlineLevel="0" collapsed="false">
      <c r="A456" s="10" t="n">
        <f aca="false">A455+1</f>
        <v>452</v>
      </c>
      <c r="B456" s="36" t="n">
        <f aca="false">IF(Premissas!$B$9&lt;=1,1,MIN(1,Premissas!$B$8/100+(1-Premissas!$B$8/100)*(A456-1)/(Premissas!$B$9-1)))</f>
        <v>1</v>
      </c>
      <c r="C456" s="9" t="n">
        <f aca="false">IF(A456&lt;=Resultados!$B$9,Resultados!$B$10,0)</f>
        <v>0</v>
      </c>
      <c r="D456" s="9" t="n">
        <f aca="false">Resultados!$E$37*$B456-Resultados!$F$37*$B456-Premissas!$B$24-Resultados!$E$37*$B456*(Premissas!$B$14/100)</f>
        <v>19027</v>
      </c>
      <c r="E456" s="9" t="n">
        <f aca="false">D456-$C456</f>
        <v>19027</v>
      </c>
      <c r="F456" s="9" t="n">
        <f aca="false">F455+E456</f>
        <v>8210600.9</v>
      </c>
      <c r="G456" s="37" t="str">
        <f aca="false">IF(AND(F455&lt;0,F456&gt;=0,A456&lt;=MAX(120,Premissas!$B$15*12)),(A456-1)+(-F455)/E456,"")</f>
        <v/>
      </c>
      <c r="H456" s="9" t="n">
        <f aca="false">Resultados!$E$38*$B456-Resultados!$F$38*$B456-Premissas!$B$24-Resultados!$E$38*$B456*(Premissas!$B$14/100)</f>
        <v>24432.4</v>
      </c>
      <c r="I456" s="9" t="n">
        <f aca="false">H456-$C456</f>
        <v>24432.4</v>
      </c>
      <c r="J456" s="9" t="n">
        <f aca="false">J455+I456</f>
        <v>10636003.8800001</v>
      </c>
      <c r="K456" s="37" t="str">
        <f aca="false">IF(AND(J455&lt;0,J456&gt;=0,A456&lt;=MAX(120,Premissas!$B$15*12)),(A456-1)+(-J455)/I456,"")</f>
        <v/>
      </c>
      <c r="L456" s="9" t="n">
        <f aca="false">Resultados!$E$39*$B456-Resultados!$F$39*$B456-Premissas!$B$24-Resultados!$E$39*$B456*(Premissas!$B$14/100)</f>
        <v>29837.8</v>
      </c>
      <c r="M456" s="9" t="n">
        <f aca="false">L456-$C456</f>
        <v>29837.8</v>
      </c>
      <c r="N456" s="9" t="n">
        <f aca="false">N455+M456</f>
        <v>13061406.8600001</v>
      </c>
      <c r="O456" s="37" t="str">
        <f aca="false">IF(AND(N455&lt;0,N456&gt;=0,A456&lt;=MAX(120,Premissas!$B$15*12)),(A456-1)+(-N455)/M456,"")</f>
        <v/>
      </c>
      <c r="P456" s="9" t="n">
        <f aca="false">Resultados!$B$19*$B456-Resultados!$B$20*$B456-Premissas!$B$24-Resultados!$B$19*$B456*(Premissas!$B$14/100)</f>
        <v>24432.4</v>
      </c>
      <c r="Q456" s="9" t="n">
        <f aca="false">P456-$C456</f>
        <v>24432.4</v>
      </c>
      <c r="R456" s="9" t="n">
        <f aca="false">R455+Q456</f>
        <v>10636003.8800001</v>
      </c>
      <c r="S456" s="37" t="str">
        <f aca="false">IF(AND(R455&lt;0,R456&gt;=0,A456&lt;=MAX(120,Premissas!$B$15*12)),(A456-1)+(-R455)/Q456,"")</f>
        <v/>
      </c>
    </row>
    <row r="457" customFormat="false" ht="15" hidden="false" customHeight="false" outlineLevel="0" collapsed="false">
      <c r="A457" s="10" t="n">
        <f aca="false">A456+1</f>
        <v>453</v>
      </c>
      <c r="B457" s="36" t="n">
        <f aca="false">IF(Premissas!$B$9&lt;=1,1,MIN(1,Premissas!$B$8/100+(1-Premissas!$B$8/100)*(A457-1)/(Premissas!$B$9-1)))</f>
        <v>1</v>
      </c>
      <c r="C457" s="9" t="n">
        <f aca="false">IF(A457&lt;=Resultados!$B$9,Resultados!$B$10,0)</f>
        <v>0</v>
      </c>
      <c r="D457" s="9" t="n">
        <f aca="false">Resultados!$E$37*$B457-Resultados!$F$37*$B457-Premissas!$B$24-Resultados!$E$37*$B457*(Premissas!$B$14/100)</f>
        <v>19027</v>
      </c>
      <c r="E457" s="9" t="n">
        <f aca="false">D457-$C457</f>
        <v>19027</v>
      </c>
      <c r="F457" s="9" t="n">
        <f aca="false">F456+E457</f>
        <v>8229627.9</v>
      </c>
      <c r="G457" s="37" t="str">
        <f aca="false">IF(AND(F456&lt;0,F457&gt;=0,A457&lt;=MAX(120,Premissas!$B$15*12)),(A457-1)+(-F456)/E457,"")</f>
        <v/>
      </c>
      <c r="H457" s="9" t="n">
        <f aca="false">Resultados!$E$38*$B457-Resultados!$F$38*$B457-Premissas!$B$24-Resultados!$E$38*$B457*(Premissas!$B$14/100)</f>
        <v>24432.4</v>
      </c>
      <c r="I457" s="9" t="n">
        <f aca="false">H457-$C457</f>
        <v>24432.4</v>
      </c>
      <c r="J457" s="9" t="n">
        <f aca="false">J456+I457</f>
        <v>10660436.2800001</v>
      </c>
      <c r="K457" s="37" t="str">
        <f aca="false">IF(AND(J456&lt;0,J457&gt;=0,A457&lt;=MAX(120,Premissas!$B$15*12)),(A457-1)+(-J456)/I457,"")</f>
        <v/>
      </c>
      <c r="L457" s="9" t="n">
        <f aca="false">Resultados!$E$39*$B457-Resultados!$F$39*$B457-Premissas!$B$24-Resultados!$E$39*$B457*(Premissas!$B$14/100)</f>
        <v>29837.8</v>
      </c>
      <c r="M457" s="9" t="n">
        <f aca="false">L457-$C457</f>
        <v>29837.8</v>
      </c>
      <c r="N457" s="9" t="n">
        <f aca="false">N456+M457</f>
        <v>13091244.6600001</v>
      </c>
      <c r="O457" s="37" t="str">
        <f aca="false">IF(AND(N456&lt;0,N457&gt;=0,A457&lt;=MAX(120,Premissas!$B$15*12)),(A457-1)+(-N456)/M457,"")</f>
        <v/>
      </c>
      <c r="P457" s="9" t="n">
        <f aca="false">Resultados!$B$19*$B457-Resultados!$B$20*$B457-Premissas!$B$24-Resultados!$B$19*$B457*(Premissas!$B$14/100)</f>
        <v>24432.4</v>
      </c>
      <c r="Q457" s="9" t="n">
        <f aca="false">P457-$C457</f>
        <v>24432.4</v>
      </c>
      <c r="R457" s="9" t="n">
        <f aca="false">R456+Q457</f>
        <v>10660436.2800001</v>
      </c>
      <c r="S457" s="37" t="str">
        <f aca="false">IF(AND(R456&lt;0,R457&gt;=0,A457&lt;=MAX(120,Premissas!$B$15*12)),(A457-1)+(-R456)/Q457,"")</f>
        <v/>
      </c>
    </row>
    <row r="458" customFormat="false" ht="15" hidden="false" customHeight="false" outlineLevel="0" collapsed="false">
      <c r="A458" s="10" t="n">
        <f aca="false">A457+1</f>
        <v>454</v>
      </c>
      <c r="B458" s="36" t="n">
        <f aca="false">IF(Premissas!$B$9&lt;=1,1,MIN(1,Premissas!$B$8/100+(1-Premissas!$B$8/100)*(A458-1)/(Premissas!$B$9-1)))</f>
        <v>1</v>
      </c>
      <c r="C458" s="9" t="n">
        <f aca="false">IF(A458&lt;=Resultados!$B$9,Resultados!$B$10,0)</f>
        <v>0</v>
      </c>
      <c r="D458" s="9" t="n">
        <f aca="false">Resultados!$E$37*$B458-Resultados!$F$37*$B458-Premissas!$B$24-Resultados!$E$37*$B458*(Premissas!$B$14/100)</f>
        <v>19027</v>
      </c>
      <c r="E458" s="9" t="n">
        <f aca="false">D458-$C458</f>
        <v>19027</v>
      </c>
      <c r="F458" s="9" t="n">
        <f aca="false">F457+E458</f>
        <v>8248654.9</v>
      </c>
      <c r="G458" s="37" t="str">
        <f aca="false">IF(AND(F457&lt;0,F458&gt;=0,A458&lt;=MAX(120,Premissas!$B$15*12)),(A458-1)+(-F457)/E458,"")</f>
        <v/>
      </c>
      <c r="H458" s="9" t="n">
        <f aca="false">Resultados!$E$38*$B458-Resultados!$F$38*$B458-Premissas!$B$24-Resultados!$E$38*$B458*(Premissas!$B$14/100)</f>
        <v>24432.4</v>
      </c>
      <c r="I458" s="9" t="n">
        <f aca="false">H458-$C458</f>
        <v>24432.4</v>
      </c>
      <c r="J458" s="9" t="n">
        <f aca="false">J457+I458</f>
        <v>10684868.6800001</v>
      </c>
      <c r="K458" s="37" t="str">
        <f aca="false">IF(AND(J457&lt;0,J458&gt;=0,A458&lt;=MAX(120,Premissas!$B$15*12)),(A458-1)+(-J457)/I458,"")</f>
        <v/>
      </c>
      <c r="L458" s="9" t="n">
        <f aca="false">Resultados!$E$39*$B458-Resultados!$F$39*$B458-Premissas!$B$24-Resultados!$E$39*$B458*(Premissas!$B$14/100)</f>
        <v>29837.8</v>
      </c>
      <c r="M458" s="9" t="n">
        <f aca="false">L458-$C458</f>
        <v>29837.8</v>
      </c>
      <c r="N458" s="9" t="n">
        <f aca="false">N457+M458</f>
        <v>13121082.4600001</v>
      </c>
      <c r="O458" s="37" t="str">
        <f aca="false">IF(AND(N457&lt;0,N458&gt;=0,A458&lt;=MAX(120,Premissas!$B$15*12)),(A458-1)+(-N457)/M458,"")</f>
        <v/>
      </c>
      <c r="P458" s="9" t="n">
        <f aca="false">Resultados!$B$19*$B458-Resultados!$B$20*$B458-Premissas!$B$24-Resultados!$B$19*$B458*(Premissas!$B$14/100)</f>
        <v>24432.4</v>
      </c>
      <c r="Q458" s="9" t="n">
        <f aca="false">P458-$C458</f>
        <v>24432.4</v>
      </c>
      <c r="R458" s="9" t="n">
        <f aca="false">R457+Q458</f>
        <v>10684868.6800001</v>
      </c>
      <c r="S458" s="37" t="str">
        <f aca="false">IF(AND(R457&lt;0,R458&gt;=0,A458&lt;=MAX(120,Premissas!$B$15*12)),(A458-1)+(-R457)/Q458,"")</f>
        <v/>
      </c>
    </row>
    <row r="459" customFormat="false" ht="15" hidden="false" customHeight="false" outlineLevel="0" collapsed="false">
      <c r="A459" s="10" t="n">
        <f aca="false">A458+1</f>
        <v>455</v>
      </c>
      <c r="B459" s="36" t="n">
        <f aca="false">IF(Premissas!$B$9&lt;=1,1,MIN(1,Premissas!$B$8/100+(1-Premissas!$B$8/100)*(A459-1)/(Premissas!$B$9-1)))</f>
        <v>1</v>
      </c>
      <c r="C459" s="9" t="n">
        <f aca="false">IF(A459&lt;=Resultados!$B$9,Resultados!$B$10,0)</f>
        <v>0</v>
      </c>
      <c r="D459" s="9" t="n">
        <f aca="false">Resultados!$E$37*$B459-Resultados!$F$37*$B459-Premissas!$B$24-Resultados!$E$37*$B459*(Premissas!$B$14/100)</f>
        <v>19027</v>
      </c>
      <c r="E459" s="9" t="n">
        <f aca="false">D459-$C459</f>
        <v>19027</v>
      </c>
      <c r="F459" s="9" t="n">
        <f aca="false">F458+E459</f>
        <v>8267681.9</v>
      </c>
      <c r="G459" s="37" t="str">
        <f aca="false">IF(AND(F458&lt;0,F459&gt;=0,A459&lt;=MAX(120,Premissas!$B$15*12)),(A459-1)+(-F458)/E459,"")</f>
        <v/>
      </c>
      <c r="H459" s="9" t="n">
        <f aca="false">Resultados!$E$38*$B459-Resultados!$F$38*$B459-Premissas!$B$24-Resultados!$E$38*$B459*(Premissas!$B$14/100)</f>
        <v>24432.4</v>
      </c>
      <c r="I459" s="9" t="n">
        <f aca="false">H459-$C459</f>
        <v>24432.4</v>
      </c>
      <c r="J459" s="9" t="n">
        <f aca="false">J458+I459</f>
        <v>10709301.0800001</v>
      </c>
      <c r="K459" s="37" t="str">
        <f aca="false">IF(AND(J458&lt;0,J459&gt;=0,A459&lt;=MAX(120,Premissas!$B$15*12)),(A459-1)+(-J458)/I459,"")</f>
        <v/>
      </c>
      <c r="L459" s="9" t="n">
        <f aca="false">Resultados!$E$39*$B459-Resultados!$F$39*$B459-Premissas!$B$24-Resultados!$E$39*$B459*(Premissas!$B$14/100)</f>
        <v>29837.8</v>
      </c>
      <c r="M459" s="9" t="n">
        <f aca="false">L459-$C459</f>
        <v>29837.8</v>
      </c>
      <c r="N459" s="9" t="n">
        <f aca="false">N458+M459</f>
        <v>13150920.2600001</v>
      </c>
      <c r="O459" s="37" t="str">
        <f aca="false">IF(AND(N458&lt;0,N459&gt;=0,A459&lt;=MAX(120,Premissas!$B$15*12)),(A459-1)+(-N458)/M459,"")</f>
        <v/>
      </c>
      <c r="P459" s="9" t="n">
        <f aca="false">Resultados!$B$19*$B459-Resultados!$B$20*$B459-Premissas!$B$24-Resultados!$B$19*$B459*(Premissas!$B$14/100)</f>
        <v>24432.4</v>
      </c>
      <c r="Q459" s="9" t="n">
        <f aca="false">P459-$C459</f>
        <v>24432.4</v>
      </c>
      <c r="R459" s="9" t="n">
        <f aca="false">R458+Q459</f>
        <v>10709301.0800001</v>
      </c>
      <c r="S459" s="37" t="str">
        <f aca="false">IF(AND(R458&lt;0,R459&gt;=0,A459&lt;=MAX(120,Premissas!$B$15*12)),(A459-1)+(-R458)/Q459,"")</f>
        <v/>
      </c>
    </row>
    <row r="460" customFormat="false" ht="15" hidden="false" customHeight="false" outlineLevel="0" collapsed="false">
      <c r="A460" s="10" t="n">
        <f aca="false">A459+1</f>
        <v>456</v>
      </c>
      <c r="B460" s="36" t="n">
        <f aca="false">IF(Premissas!$B$9&lt;=1,1,MIN(1,Premissas!$B$8/100+(1-Premissas!$B$8/100)*(A460-1)/(Premissas!$B$9-1)))</f>
        <v>1</v>
      </c>
      <c r="C460" s="9" t="n">
        <f aca="false">IF(A460&lt;=Resultados!$B$9,Resultados!$B$10,0)</f>
        <v>0</v>
      </c>
      <c r="D460" s="9" t="n">
        <f aca="false">Resultados!$E$37*$B460-Resultados!$F$37*$B460-Premissas!$B$24-Resultados!$E$37*$B460*(Premissas!$B$14/100)</f>
        <v>19027</v>
      </c>
      <c r="E460" s="9" t="n">
        <f aca="false">D460-$C460</f>
        <v>19027</v>
      </c>
      <c r="F460" s="9" t="n">
        <f aca="false">F459+E460</f>
        <v>8286708.9</v>
      </c>
      <c r="G460" s="37" t="str">
        <f aca="false">IF(AND(F459&lt;0,F460&gt;=0,A460&lt;=MAX(120,Premissas!$B$15*12)),(A460-1)+(-F459)/E460,"")</f>
        <v/>
      </c>
      <c r="H460" s="9" t="n">
        <f aca="false">Resultados!$E$38*$B460-Resultados!$F$38*$B460-Premissas!$B$24-Resultados!$E$38*$B460*(Premissas!$B$14/100)</f>
        <v>24432.4</v>
      </c>
      <c r="I460" s="9" t="n">
        <f aca="false">H460-$C460</f>
        <v>24432.4</v>
      </c>
      <c r="J460" s="9" t="n">
        <f aca="false">J459+I460</f>
        <v>10733733.4800001</v>
      </c>
      <c r="K460" s="37" t="str">
        <f aca="false">IF(AND(J459&lt;0,J460&gt;=0,A460&lt;=MAX(120,Premissas!$B$15*12)),(A460-1)+(-J459)/I460,"")</f>
        <v/>
      </c>
      <c r="L460" s="9" t="n">
        <f aca="false">Resultados!$E$39*$B460-Resultados!$F$39*$B460-Premissas!$B$24-Resultados!$E$39*$B460*(Premissas!$B$14/100)</f>
        <v>29837.8</v>
      </c>
      <c r="M460" s="9" t="n">
        <f aca="false">L460-$C460</f>
        <v>29837.8</v>
      </c>
      <c r="N460" s="9" t="n">
        <f aca="false">N459+M460</f>
        <v>13180758.0600001</v>
      </c>
      <c r="O460" s="37" t="str">
        <f aca="false">IF(AND(N459&lt;0,N460&gt;=0,A460&lt;=MAX(120,Premissas!$B$15*12)),(A460-1)+(-N459)/M460,"")</f>
        <v/>
      </c>
      <c r="P460" s="9" t="n">
        <f aca="false">Resultados!$B$19*$B460-Resultados!$B$20*$B460-Premissas!$B$24-Resultados!$B$19*$B460*(Premissas!$B$14/100)</f>
        <v>24432.4</v>
      </c>
      <c r="Q460" s="9" t="n">
        <f aca="false">P460-$C460</f>
        <v>24432.4</v>
      </c>
      <c r="R460" s="9" t="n">
        <f aca="false">R459+Q460</f>
        <v>10733733.4800001</v>
      </c>
      <c r="S460" s="37" t="str">
        <f aca="false">IF(AND(R459&lt;0,R460&gt;=0,A460&lt;=MAX(120,Premissas!$B$15*12)),(A460-1)+(-R459)/Q460,"")</f>
        <v/>
      </c>
    </row>
    <row r="461" customFormat="false" ht="15" hidden="false" customHeight="false" outlineLevel="0" collapsed="false">
      <c r="A461" s="10" t="n">
        <f aca="false">A460+1</f>
        <v>457</v>
      </c>
      <c r="B461" s="36" t="n">
        <f aca="false">IF(Premissas!$B$9&lt;=1,1,MIN(1,Premissas!$B$8/100+(1-Premissas!$B$8/100)*(A461-1)/(Premissas!$B$9-1)))</f>
        <v>1</v>
      </c>
      <c r="C461" s="9" t="n">
        <f aca="false">IF(A461&lt;=Resultados!$B$9,Resultados!$B$10,0)</f>
        <v>0</v>
      </c>
      <c r="D461" s="9" t="n">
        <f aca="false">Resultados!$E$37*$B461-Resultados!$F$37*$B461-Premissas!$B$24-Resultados!$E$37*$B461*(Premissas!$B$14/100)</f>
        <v>19027</v>
      </c>
      <c r="E461" s="9" t="n">
        <f aca="false">D461-$C461</f>
        <v>19027</v>
      </c>
      <c r="F461" s="9" t="n">
        <f aca="false">F460+E461</f>
        <v>8305735.9</v>
      </c>
      <c r="G461" s="37" t="str">
        <f aca="false">IF(AND(F460&lt;0,F461&gt;=0,A461&lt;=MAX(120,Premissas!$B$15*12)),(A461-1)+(-F460)/E461,"")</f>
        <v/>
      </c>
      <c r="H461" s="9" t="n">
        <f aca="false">Resultados!$E$38*$B461-Resultados!$F$38*$B461-Premissas!$B$24-Resultados!$E$38*$B461*(Premissas!$B$14/100)</f>
        <v>24432.4</v>
      </c>
      <c r="I461" s="9" t="n">
        <f aca="false">H461-$C461</f>
        <v>24432.4</v>
      </c>
      <c r="J461" s="9" t="n">
        <f aca="false">J460+I461</f>
        <v>10758165.8800001</v>
      </c>
      <c r="K461" s="37" t="str">
        <f aca="false">IF(AND(J460&lt;0,J461&gt;=0,A461&lt;=MAX(120,Premissas!$B$15*12)),(A461-1)+(-J460)/I461,"")</f>
        <v/>
      </c>
      <c r="L461" s="9" t="n">
        <f aca="false">Resultados!$E$39*$B461-Resultados!$F$39*$B461-Premissas!$B$24-Resultados!$E$39*$B461*(Premissas!$B$14/100)</f>
        <v>29837.8</v>
      </c>
      <c r="M461" s="9" t="n">
        <f aca="false">L461-$C461</f>
        <v>29837.8</v>
      </c>
      <c r="N461" s="9" t="n">
        <f aca="false">N460+M461</f>
        <v>13210595.8600001</v>
      </c>
      <c r="O461" s="37" t="str">
        <f aca="false">IF(AND(N460&lt;0,N461&gt;=0,A461&lt;=MAX(120,Premissas!$B$15*12)),(A461-1)+(-N460)/M461,"")</f>
        <v/>
      </c>
      <c r="P461" s="9" t="n">
        <f aca="false">Resultados!$B$19*$B461-Resultados!$B$20*$B461-Premissas!$B$24-Resultados!$B$19*$B461*(Premissas!$B$14/100)</f>
        <v>24432.4</v>
      </c>
      <c r="Q461" s="9" t="n">
        <f aca="false">P461-$C461</f>
        <v>24432.4</v>
      </c>
      <c r="R461" s="9" t="n">
        <f aca="false">R460+Q461</f>
        <v>10758165.8800001</v>
      </c>
      <c r="S461" s="37" t="str">
        <f aca="false">IF(AND(R460&lt;0,R461&gt;=0,A461&lt;=MAX(120,Premissas!$B$15*12)),(A461-1)+(-R460)/Q461,"")</f>
        <v/>
      </c>
    </row>
    <row r="462" customFormat="false" ht="15" hidden="false" customHeight="false" outlineLevel="0" collapsed="false">
      <c r="A462" s="10" t="n">
        <f aca="false">A461+1</f>
        <v>458</v>
      </c>
      <c r="B462" s="36" t="n">
        <f aca="false">IF(Premissas!$B$9&lt;=1,1,MIN(1,Premissas!$B$8/100+(1-Premissas!$B$8/100)*(A462-1)/(Premissas!$B$9-1)))</f>
        <v>1</v>
      </c>
      <c r="C462" s="9" t="n">
        <f aca="false">IF(A462&lt;=Resultados!$B$9,Resultados!$B$10,0)</f>
        <v>0</v>
      </c>
      <c r="D462" s="9" t="n">
        <f aca="false">Resultados!$E$37*$B462-Resultados!$F$37*$B462-Premissas!$B$24-Resultados!$E$37*$B462*(Premissas!$B$14/100)</f>
        <v>19027</v>
      </c>
      <c r="E462" s="9" t="n">
        <f aca="false">D462-$C462</f>
        <v>19027</v>
      </c>
      <c r="F462" s="9" t="n">
        <f aca="false">F461+E462</f>
        <v>8324762.9</v>
      </c>
      <c r="G462" s="37" t="str">
        <f aca="false">IF(AND(F461&lt;0,F462&gt;=0,A462&lt;=MAX(120,Premissas!$B$15*12)),(A462-1)+(-F461)/E462,"")</f>
        <v/>
      </c>
      <c r="H462" s="9" t="n">
        <f aca="false">Resultados!$E$38*$B462-Resultados!$F$38*$B462-Premissas!$B$24-Resultados!$E$38*$B462*(Premissas!$B$14/100)</f>
        <v>24432.4</v>
      </c>
      <c r="I462" s="9" t="n">
        <f aca="false">H462-$C462</f>
        <v>24432.4</v>
      </c>
      <c r="J462" s="9" t="n">
        <f aca="false">J461+I462</f>
        <v>10782598.2800001</v>
      </c>
      <c r="K462" s="37" t="str">
        <f aca="false">IF(AND(J461&lt;0,J462&gt;=0,A462&lt;=MAX(120,Premissas!$B$15*12)),(A462-1)+(-J461)/I462,"")</f>
        <v/>
      </c>
      <c r="L462" s="9" t="n">
        <f aca="false">Resultados!$E$39*$B462-Resultados!$F$39*$B462-Premissas!$B$24-Resultados!$E$39*$B462*(Premissas!$B$14/100)</f>
        <v>29837.8</v>
      </c>
      <c r="M462" s="9" t="n">
        <f aca="false">L462-$C462</f>
        <v>29837.8</v>
      </c>
      <c r="N462" s="9" t="n">
        <f aca="false">N461+M462</f>
        <v>13240433.6600001</v>
      </c>
      <c r="O462" s="37" t="str">
        <f aca="false">IF(AND(N461&lt;0,N462&gt;=0,A462&lt;=MAX(120,Premissas!$B$15*12)),(A462-1)+(-N461)/M462,"")</f>
        <v/>
      </c>
      <c r="P462" s="9" t="n">
        <f aca="false">Resultados!$B$19*$B462-Resultados!$B$20*$B462-Premissas!$B$24-Resultados!$B$19*$B462*(Premissas!$B$14/100)</f>
        <v>24432.4</v>
      </c>
      <c r="Q462" s="9" t="n">
        <f aca="false">P462-$C462</f>
        <v>24432.4</v>
      </c>
      <c r="R462" s="9" t="n">
        <f aca="false">R461+Q462</f>
        <v>10782598.2800001</v>
      </c>
      <c r="S462" s="37" t="str">
        <f aca="false">IF(AND(R461&lt;0,R462&gt;=0,A462&lt;=MAX(120,Premissas!$B$15*12)),(A462-1)+(-R461)/Q462,"")</f>
        <v/>
      </c>
    </row>
    <row r="463" customFormat="false" ht="15" hidden="false" customHeight="false" outlineLevel="0" collapsed="false">
      <c r="A463" s="10" t="n">
        <f aca="false">A462+1</f>
        <v>459</v>
      </c>
      <c r="B463" s="36" t="n">
        <f aca="false">IF(Premissas!$B$9&lt;=1,1,MIN(1,Premissas!$B$8/100+(1-Premissas!$B$8/100)*(A463-1)/(Premissas!$B$9-1)))</f>
        <v>1</v>
      </c>
      <c r="C463" s="9" t="n">
        <f aca="false">IF(A463&lt;=Resultados!$B$9,Resultados!$B$10,0)</f>
        <v>0</v>
      </c>
      <c r="D463" s="9" t="n">
        <f aca="false">Resultados!$E$37*$B463-Resultados!$F$37*$B463-Premissas!$B$24-Resultados!$E$37*$B463*(Premissas!$B$14/100)</f>
        <v>19027</v>
      </c>
      <c r="E463" s="9" t="n">
        <f aca="false">D463-$C463</f>
        <v>19027</v>
      </c>
      <c r="F463" s="9" t="n">
        <f aca="false">F462+E463</f>
        <v>8343789.9</v>
      </c>
      <c r="G463" s="37" t="str">
        <f aca="false">IF(AND(F462&lt;0,F463&gt;=0,A463&lt;=MAX(120,Premissas!$B$15*12)),(A463-1)+(-F462)/E463,"")</f>
        <v/>
      </c>
      <c r="H463" s="9" t="n">
        <f aca="false">Resultados!$E$38*$B463-Resultados!$F$38*$B463-Premissas!$B$24-Resultados!$E$38*$B463*(Premissas!$B$14/100)</f>
        <v>24432.4</v>
      </c>
      <c r="I463" s="9" t="n">
        <f aca="false">H463-$C463</f>
        <v>24432.4</v>
      </c>
      <c r="J463" s="9" t="n">
        <f aca="false">J462+I463</f>
        <v>10807030.6800001</v>
      </c>
      <c r="K463" s="37" t="str">
        <f aca="false">IF(AND(J462&lt;0,J463&gt;=0,A463&lt;=MAX(120,Premissas!$B$15*12)),(A463-1)+(-J462)/I463,"")</f>
        <v/>
      </c>
      <c r="L463" s="9" t="n">
        <f aca="false">Resultados!$E$39*$B463-Resultados!$F$39*$B463-Premissas!$B$24-Resultados!$E$39*$B463*(Premissas!$B$14/100)</f>
        <v>29837.8</v>
      </c>
      <c r="M463" s="9" t="n">
        <f aca="false">L463-$C463</f>
        <v>29837.8</v>
      </c>
      <c r="N463" s="9" t="n">
        <f aca="false">N462+M463</f>
        <v>13270271.4600001</v>
      </c>
      <c r="O463" s="37" t="str">
        <f aca="false">IF(AND(N462&lt;0,N463&gt;=0,A463&lt;=MAX(120,Premissas!$B$15*12)),(A463-1)+(-N462)/M463,"")</f>
        <v/>
      </c>
      <c r="P463" s="9" t="n">
        <f aca="false">Resultados!$B$19*$B463-Resultados!$B$20*$B463-Premissas!$B$24-Resultados!$B$19*$B463*(Premissas!$B$14/100)</f>
        <v>24432.4</v>
      </c>
      <c r="Q463" s="9" t="n">
        <f aca="false">P463-$C463</f>
        <v>24432.4</v>
      </c>
      <c r="R463" s="9" t="n">
        <f aca="false">R462+Q463</f>
        <v>10807030.6800001</v>
      </c>
      <c r="S463" s="37" t="str">
        <f aca="false">IF(AND(R462&lt;0,R463&gt;=0,A463&lt;=MAX(120,Premissas!$B$15*12)),(A463-1)+(-R462)/Q463,"")</f>
        <v/>
      </c>
    </row>
    <row r="464" customFormat="false" ht="15" hidden="false" customHeight="false" outlineLevel="0" collapsed="false">
      <c r="A464" s="10" t="n">
        <f aca="false">A463+1</f>
        <v>460</v>
      </c>
      <c r="B464" s="36" t="n">
        <f aca="false">IF(Premissas!$B$9&lt;=1,1,MIN(1,Premissas!$B$8/100+(1-Premissas!$B$8/100)*(A464-1)/(Premissas!$B$9-1)))</f>
        <v>1</v>
      </c>
      <c r="C464" s="9" t="n">
        <f aca="false">IF(A464&lt;=Resultados!$B$9,Resultados!$B$10,0)</f>
        <v>0</v>
      </c>
      <c r="D464" s="9" t="n">
        <f aca="false">Resultados!$E$37*$B464-Resultados!$F$37*$B464-Premissas!$B$24-Resultados!$E$37*$B464*(Premissas!$B$14/100)</f>
        <v>19027</v>
      </c>
      <c r="E464" s="9" t="n">
        <f aca="false">D464-$C464</f>
        <v>19027</v>
      </c>
      <c r="F464" s="9" t="n">
        <f aca="false">F463+E464</f>
        <v>8362816.9</v>
      </c>
      <c r="G464" s="37" t="str">
        <f aca="false">IF(AND(F463&lt;0,F464&gt;=0,A464&lt;=MAX(120,Premissas!$B$15*12)),(A464-1)+(-F463)/E464,"")</f>
        <v/>
      </c>
      <c r="H464" s="9" t="n">
        <f aca="false">Resultados!$E$38*$B464-Resultados!$F$38*$B464-Premissas!$B$24-Resultados!$E$38*$B464*(Premissas!$B$14/100)</f>
        <v>24432.4</v>
      </c>
      <c r="I464" s="9" t="n">
        <f aca="false">H464-$C464</f>
        <v>24432.4</v>
      </c>
      <c r="J464" s="9" t="n">
        <f aca="false">J463+I464</f>
        <v>10831463.0800001</v>
      </c>
      <c r="K464" s="37" t="str">
        <f aca="false">IF(AND(J463&lt;0,J464&gt;=0,A464&lt;=MAX(120,Premissas!$B$15*12)),(A464-1)+(-J463)/I464,"")</f>
        <v/>
      </c>
      <c r="L464" s="9" t="n">
        <f aca="false">Resultados!$E$39*$B464-Resultados!$F$39*$B464-Premissas!$B$24-Resultados!$E$39*$B464*(Premissas!$B$14/100)</f>
        <v>29837.8</v>
      </c>
      <c r="M464" s="9" t="n">
        <f aca="false">L464-$C464</f>
        <v>29837.8</v>
      </c>
      <c r="N464" s="9" t="n">
        <f aca="false">N463+M464</f>
        <v>13300109.2600001</v>
      </c>
      <c r="O464" s="37" t="str">
        <f aca="false">IF(AND(N463&lt;0,N464&gt;=0,A464&lt;=MAX(120,Premissas!$B$15*12)),(A464-1)+(-N463)/M464,"")</f>
        <v/>
      </c>
      <c r="P464" s="9" t="n">
        <f aca="false">Resultados!$B$19*$B464-Resultados!$B$20*$B464-Premissas!$B$24-Resultados!$B$19*$B464*(Premissas!$B$14/100)</f>
        <v>24432.4</v>
      </c>
      <c r="Q464" s="9" t="n">
        <f aca="false">P464-$C464</f>
        <v>24432.4</v>
      </c>
      <c r="R464" s="9" t="n">
        <f aca="false">R463+Q464</f>
        <v>10831463.0800001</v>
      </c>
      <c r="S464" s="37" t="str">
        <f aca="false">IF(AND(R463&lt;0,R464&gt;=0,A464&lt;=MAX(120,Premissas!$B$15*12)),(A464-1)+(-R463)/Q464,"")</f>
        <v/>
      </c>
    </row>
    <row r="465" customFormat="false" ht="15" hidden="false" customHeight="false" outlineLevel="0" collapsed="false">
      <c r="A465" s="10" t="n">
        <f aca="false">A464+1</f>
        <v>461</v>
      </c>
      <c r="B465" s="36" t="n">
        <f aca="false">IF(Premissas!$B$9&lt;=1,1,MIN(1,Premissas!$B$8/100+(1-Premissas!$B$8/100)*(A465-1)/(Premissas!$B$9-1)))</f>
        <v>1</v>
      </c>
      <c r="C465" s="9" t="n">
        <f aca="false">IF(A465&lt;=Resultados!$B$9,Resultados!$B$10,0)</f>
        <v>0</v>
      </c>
      <c r="D465" s="9" t="n">
        <f aca="false">Resultados!$E$37*$B465-Resultados!$F$37*$B465-Premissas!$B$24-Resultados!$E$37*$B465*(Premissas!$B$14/100)</f>
        <v>19027</v>
      </c>
      <c r="E465" s="9" t="n">
        <f aca="false">D465-$C465</f>
        <v>19027</v>
      </c>
      <c r="F465" s="9" t="n">
        <f aca="false">F464+E465</f>
        <v>8381843.9</v>
      </c>
      <c r="G465" s="37" t="str">
        <f aca="false">IF(AND(F464&lt;0,F465&gt;=0,A465&lt;=MAX(120,Premissas!$B$15*12)),(A465-1)+(-F464)/E465,"")</f>
        <v/>
      </c>
      <c r="H465" s="9" t="n">
        <f aca="false">Resultados!$E$38*$B465-Resultados!$F$38*$B465-Premissas!$B$24-Resultados!$E$38*$B465*(Premissas!$B$14/100)</f>
        <v>24432.4</v>
      </c>
      <c r="I465" s="9" t="n">
        <f aca="false">H465-$C465</f>
        <v>24432.4</v>
      </c>
      <c r="J465" s="9" t="n">
        <f aca="false">J464+I465</f>
        <v>10855895.4800001</v>
      </c>
      <c r="K465" s="37" t="str">
        <f aca="false">IF(AND(J464&lt;0,J465&gt;=0,A465&lt;=MAX(120,Premissas!$B$15*12)),(A465-1)+(-J464)/I465,"")</f>
        <v/>
      </c>
      <c r="L465" s="9" t="n">
        <f aca="false">Resultados!$E$39*$B465-Resultados!$F$39*$B465-Premissas!$B$24-Resultados!$E$39*$B465*(Premissas!$B$14/100)</f>
        <v>29837.8</v>
      </c>
      <c r="M465" s="9" t="n">
        <f aca="false">L465-$C465</f>
        <v>29837.8</v>
      </c>
      <c r="N465" s="9" t="n">
        <f aca="false">N464+M465</f>
        <v>13329947.0600001</v>
      </c>
      <c r="O465" s="37" t="str">
        <f aca="false">IF(AND(N464&lt;0,N465&gt;=0,A465&lt;=MAX(120,Premissas!$B$15*12)),(A465-1)+(-N464)/M465,"")</f>
        <v/>
      </c>
      <c r="P465" s="9" t="n">
        <f aca="false">Resultados!$B$19*$B465-Resultados!$B$20*$B465-Premissas!$B$24-Resultados!$B$19*$B465*(Premissas!$B$14/100)</f>
        <v>24432.4</v>
      </c>
      <c r="Q465" s="9" t="n">
        <f aca="false">P465-$C465</f>
        <v>24432.4</v>
      </c>
      <c r="R465" s="9" t="n">
        <f aca="false">R464+Q465</f>
        <v>10855895.4800001</v>
      </c>
      <c r="S465" s="37" t="str">
        <f aca="false">IF(AND(R464&lt;0,R465&gt;=0,A465&lt;=MAX(120,Premissas!$B$15*12)),(A465-1)+(-R464)/Q465,"")</f>
        <v/>
      </c>
    </row>
    <row r="466" customFormat="false" ht="15" hidden="false" customHeight="false" outlineLevel="0" collapsed="false">
      <c r="A466" s="10" t="n">
        <f aca="false">A465+1</f>
        <v>462</v>
      </c>
      <c r="B466" s="36" t="n">
        <f aca="false">IF(Premissas!$B$9&lt;=1,1,MIN(1,Premissas!$B$8/100+(1-Premissas!$B$8/100)*(A466-1)/(Premissas!$B$9-1)))</f>
        <v>1</v>
      </c>
      <c r="C466" s="9" t="n">
        <f aca="false">IF(A466&lt;=Resultados!$B$9,Resultados!$B$10,0)</f>
        <v>0</v>
      </c>
      <c r="D466" s="9" t="n">
        <f aca="false">Resultados!$E$37*$B466-Resultados!$F$37*$B466-Premissas!$B$24-Resultados!$E$37*$B466*(Premissas!$B$14/100)</f>
        <v>19027</v>
      </c>
      <c r="E466" s="9" t="n">
        <f aca="false">D466-$C466</f>
        <v>19027</v>
      </c>
      <c r="F466" s="9" t="n">
        <f aca="false">F465+E466</f>
        <v>8400870.9</v>
      </c>
      <c r="G466" s="37" t="str">
        <f aca="false">IF(AND(F465&lt;0,F466&gt;=0,A466&lt;=MAX(120,Premissas!$B$15*12)),(A466-1)+(-F465)/E466,"")</f>
        <v/>
      </c>
      <c r="H466" s="9" t="n">
        <f aca="false">Resultados!$E$38*$B466-Resultados!$F$38*$B466-Premissas!$B$24-Resultados!$E$38*$B466*(Premissas!$B$14/100)</f>
        <v>24432.4</v>
      </c>
      <c r="I466" s="9" t="n">
        <f aca="false">H466-$C466</f>
        <v>24432.4</v>
      </c>
      <c r="J466" s="9" t="n">
        <f aca="false">J465+I466</f>
        <v>10880327.8800001</v>
      </c>
      <c r="K466" s="37" t="str">
        <f aca="false">IF(AND(J465&lt;0,J466&gt;=0,A466&lt;=MAX(120,Premissas!$B$15*12)),(A466-1)+(-J465)/I466,"")</f>
        <v/>
      </c>
      <c r="L466" s="9" t="n">
        <f aca="false">Resultados!$E$39*$B466-Resultados!$F$39*$B466-Premissas!$B$24-Resultados!$E$39*$B466*(Premissas!$B$14/100)</f>
        <v>29837.8</v>
      </c>
      <c r="M466" s="9" t="n">
        <f aca="false">L466-$C466</f>
        <v>29837.8</v>
      </c>
      <c r="N466" s="9" t="n">
        <f aca="false">N465+M466</f>
        <v>13359784.8600001</v>
      </c>
      <c r="O466" s="37" t="str">
        <f aca="false">IF(AND(N465&lt;0,N466&gt;=0,A466&lt;=MAX(120,Premissas!$B$15*12)),(A466-1)+(-N465)/M466,"")</f>
        <v/>
      </c>
      <c r="P466" s="9" t="n">
        <f aca="false">Resultados!$B$19*$B466-Resultados!$B$20*$B466-Premissas!$B$24-Resultados!$B$19*$B466*(Premissas!$B$14/100)</f>
        <v>24432.4</v>
      </c>
      <c r="Q466" s="9" t="n">
        <f aca="false">P466-$C466</f>
        <v>24432.4</v>
      </c>
      <c r="R466" s="9" t="n">
        <f aca="false">R465+Q466</f>
        <v>10880327.8800001</v>
      </c>
      <c r="S466" s="37" t="str">
        <f aca="false">IF(AND(R465&lt;0,R466&gt;=0,A466&lt;=MAX(120,Premissas!$B$15*12)),(A466-1)+(-R465)/Q466,"")</f>
        <v/>
      </c>
    </row>
    <row r="467" customFormat="false" ht="15" hidden="false" customHeight="false" outlineLevel="0" collapsed="false">
      <c r="A467" s="10" t="n">
        <f aca="false">A466+1</f>
        <v>463</v>
      </c>
      <c r="B467" s="36" t="n">
        <f aca="false">IF(Premissas!$B$9&lt;=1,1,MIN(1,Premissas!$B$8/100+(1-Premissas!$B$8/100)*(A467-1)/(Premissas!$B$9-1)))</f>
        <v>1</v>
      </c>
      <c r="C467" s="9" t="n">
        <f aca="false">IF(A467&lt;=Resultados!$B$9,Resultados!$B$10,0)</f>
        <v>0</v>
      </c>
      <c r="D467" s="9" t="n">
        <f aca="false">Resultados!$E$37*$B467-Resultados!$F$37*$B467-Premissas!$B$24-Resultados!$E$37*$B467*(Premissas!$B$14/100)</f>
        <v>19027</v>
      </c>
      <c r="E467" s="9" t="n">
        <f aca="false">D467-$C467</f>
        <v>19027</v>
      </c>
      <c r="F467" s="9" t="n">
        <f aca="false">F466+E467</f>
        <v>8419897.9</v>
      </c>
      <c r="G467" s="37" t="str">
        <f aca="false">IF(AND(F466&lt;0,F467&gt;=0,A467&lt;=MAX(120,Premissas!$B$15*12)),(A467-1)+(-F466)/E467,"")</f>
        <v/>
      </c>
      <c r="H467" s="9" t="n">
        <f aca="false">Resultados!$E$38*$B467-Resultados!$F$38*$B467-Premissas!$B$24-Resultados!$E$38*$B467*(Premissas!$B$14/100)</f>
        <v>24432.4</v>
      </c>
      <c r="I467" s="9" t="n">
        <f aca="false">H467-$C467</f>
        <v>24432.4</v>
      </c>
      <c r="J467" s="9" t="n">
        <f aca="false">J466+I467</f>
        <v>10904760.2800001</v>
      </c>
      <c r="K467" s="37" t="str">
        <f aca="false">IF(AND(J466&lt;0,J467&gt;=0,A467&lt;=MAX(120,Premissas!$B$15*12)),(A467-1)+(-J466)/I467,"")</f>
        <v/>
      </c>
      <c r="L467" s="9" t="n">
        <f aca="false">Resultados!$E$39*$B467-Resultados!$F$39*$B467-Premissas!$B$24-Resultados!$E$39*$B467*(Premissas!$B$14/100)</f>
        <v>29837.8</v>
      </c>
      <c r="M467" s="9" t="n">
        <f aca="false">L467-$C467</f>
        <v>29837.8</v>
      </c>
      <c r="N467" s="9" t="n">
        <f aca="false">N466+M467</f>
        <v>13389622.6600001</v>
      </c>
      <c r="O467" s="37" t="str">
        <f aca="false">IF(AND(N466&lt;0,N467&gt;=0,A467&lt;=MAX(120,Premissas!$B$15*12)),(A467-1)+(-N466)/M467,"")</f>
        <v/>
      </c>
      <c r="P467" s="9" t="n">
        <f aca="false">Resultados!$B$19*$B467-Resultados!$B$20*$B467-Premissas!$B$24-Resultados!$B$19*$B467*(Premissas!$B$14/100)</f>
        <v>24432.4</v>
      </c>
      <c r="Q467" s="9" t="n">
        <f aca="false">P467-$C467</f>
        <v>24432.4</v>
      </c>
      <c r="R467" s="9" t="n">
        <f aca="false">R466+Q467</f>
        <v>10904760.2800001</v>
      </c>
      <c r="S467" s="37" t="str">
        <f aca="false">IF(AND(R466&lt;0,R467&gt;=0,A467&lt;=MAX(120,Premissas!$B$15*12)),(A467-1)+(-R466)/Q467,"")</f>
        <v/>
      </c>
    </row>
    <row r="468" customFormat="false" ht="15" hidden="false" customHeight="false" outlineLevel="0" collapsed="false">
      <c r="A468" s="10" t="n">
        <f aca="false">A467+1</f>
        <v>464</v>
      </c>
      <c r="B468" s="36" t="n">
        <f aca="false">IF(Premissas!$B$9&lt;=1,1,MIN(1,Premissas!$B$8/100+(1-Premissas!$B$8/100)*(A468-1)/(Premissas!$B$9-1)))</f>
        <v>1</v>
      </c>
      <c r="C468" s="9" t="n">
        <f aca="false">IF(A468&lt;=Resultados!$B$9,Resultados!$B$10,0)</f>
        <v>0</v>
      </c>
      <c r="D468" s="9" t="n">
        <f aca="false">Resultados!$E$37*$B468-Resultados!$F$37*$B468-Premissas!$B$24-Resultados!$E$37*$B468*(Premissas!$B$14/100)</f>
        <v>19027</v>
      </c>
      <c r="E468" s="9" t="n">
        <f aca="false">D468-$C468</f>
        <v>19027</v>
      </c>
      <c r="F468" s="9" t="n">
        <f aca="false">F467+E468</f>
        <v>8438924.9</v>
      </c>
      <c r="G468" s="37" t="str">
        <f aca="false">IF(AND(F467&lt;0,F468&gt;=0,A468&lt;=MAX(120,Premissas!$B$15*12)),(A468-1)+(-F467)/E468,"")</f>
        <v/>
      </c>
      <c r="H468" s="9" t="n">
        <f aca="false">Resultados!$E$38*$B468-Resultados!$F$38*$B468-Premissas!$B$24-Resultados!$E$38*$B468*(Premissas!$B$14/100)</f>
        <v>24432.4</v>
      </c>
      <c r="I468" s="9" t="n">
        <f aca="false">H468-$C468</f>
        <v>24432.4</v>
      </c>
      <c r="J468" s="9" t="n">
        <f aca="false">J467+I468</f>
        <v>10929192.6800001</v>
      </c>
      <c r="K468" s="37" t="str">
        <f aca="false">IF(AND(J467&lt;0,J468&gt;=0,A468&lt;=MAX(120,Premissas!$B$15*12)),(A468-1)+(-J467)/I468,"")</f>
        <v/>
      </c>
      <c r="L468" s="9" t="n">
        <f aca="false">Resultados!$E$39*$B468-Resultados!$F$39*$B468-Premissas!$B$24-Resultados!$E$39*$B468*(Premissas!$B$14/100)</f>
        <v>29837.8</v>
      </c>
      <c r="M468" s="9" t="n">
        <f aca="false">L468-$C468</f>
        <v>29837.8</v>
      </c>
      <c r="N468" s="9" t="n">
        <f aca="false">N467+M468</f>
        <v>13419460.4600001</v>
      </c>
      <c r="O468" s="37" t="str">
        <f aca="false">IF(AND(N467&lt;0,N468&gt;=0,A468&lt;=MAX(120,Premissas!$B$15*12)),(A468-1)+(-N467)/M468,"")</f>
        <v/>
      </c>
      <c r="P468" s="9" t="n">
        <f aca="false">Resultados!$B$19*$B468-Resultados!$B$20*$B468-Premissas!$B$24-Resultados!$B$19*$B468*(Premissas!$B$14/100)</f>
        <v>24432.4</v>
      </c>
      <c r="Q468" s="9" t="n">
        <f aca="false">P468-$C468</f>
        <v>24432.4</v>
      </c>
      <c r="R468" s="9" t="n">
        <f aca="false">R467+Q468</f>
        <v>10929192.6800001</v>
      </c>
      <c r="S468" s="37" t="str">
        <f aca="false">IF(AND(R467&lt;0,R468&gt;=0,A468&lt;=MAX(120,Premissas!$B$15*12)),(A468-1)+(-R467)/Q468,"")</f>
        <v/>
      </c>
    </row>
    <row r="469" customFormat="false" ht="15" hidden="false" customHeight="false" outlineLevel="0" collapsed="false">
      <c r="A469" s="10" t="n">
        <f aca="false">A468+1</f>
        <v>465</v>
      </c>
      <c r="B469" s="36" t="n">
        <f aca="false">IF(Premissas!$B$9&lt;=1,1,MIN(1,Premissas!$B$8/100+(1-Premissas!$B$8/100)*(A469-1)/(Premissas!$B$9-1)))</f>
        <v>1</v>
      </c>
      <c r="C469" s="9" t="n">
        <f aca="false">IF(A469&lt;=Resultados!$B$9,Resultados!$B$10,0)</f>
        <v>0</v>
      </c>
      <c r="D469" s="9" t="n">
        <f aca="false">Resultados!$E$37*$B469-Resultados!$F$37*$B469-Premissas!$B$24-Resultados!$E$37*$B469*(Premissas!$B$14/100)</f>
        <v>19027</v>
      </c>
      <c r="E469" s="9" t="n">
        <f aca="false">D469-$C469</f>
        <v>19027</v>
      </c>
      <c r="F469" s="9" t="n">
        <f aca="false">F468+E469</f>
        <v>8457951.9</v>
      </c>
      <c r="G469" s="37" t="str">
        <f aca="false">IF(AND(F468&lt;0,F469&gt;=0,A469&lt;=MAX(120,Premissas!$B$15*12)),(A469-1)+(-F468)/E469,"")</f>
        <v/>
      </c>
      <c r="H469" s="9" t="n">
        <f aca="false">Resultados!$E$38*$B469-Resultados!$F$38*$B469-Premissas!$B$24-Resultados!$E$38*$B469*(Premissas!$B$14/100)</f>
        <v>24432.4</v>
      </c>
      <c r="I469" s="9" t="n">
        <f aca="false">H469-$C469</f>
        <v>24432.4</v>
      </c>
      <c r="J469" s="9" t="n">
        <f aca="false">J468+I469</f>
        <v>10953625.0800001</v>
      </c>
      <c r="K469" s="37" t="str">
        <f aca="false">IF(AND(J468&lt;0,J469&gt;=0,A469&lt;=MAX(120,Premissas!$B$15*12)),(A469-1)+(-J468)/I469,"")</f>
        <v/>
      </c>
      <c r="L469" s="9" t="n">
        <f aca="false">Resultados!$E$39*$B469-Resultados!$F$39*$B469-Premissas!$B$24-Resultados!$E$39*$B469*(Premissas!$B$14/100)</f>
        <v>29837.8</v>
      </c>
      <c r="M469" s="9" t="n">
        <f aca="false">L469-$C469</f>
        <v>29837.8</v>
      </c>
      <c r="N469" s="9" t="n">
        <f aca="false">N468+M469</f>
        <v>13449298.2600001</v>
      </c>
      <c r="O469" s="37" t="str">
        <f aca="false">IF(AND(N468&lt;0,N469&gt;=0,A469&lt;=MAX(120,Premissas!$B$15*12)),(A469-1)+(-N468)/M469,"")</f>
        <v/>
      </c>
      <c r="P469" s="9" t="n">
        <f aca="false">Resultados!$B$19*$B469-Resultados!$B$20*$B469-Premissas!$B$24-Resultados!$B$19*$B469*(Premissas!$B$14/100)</f>
        <v>24432.4</v>
      </c>
      <c r="Q469" s="9" t="n">
        <f aca="false">P469-$C469</f>
        <v>24432.4</v>
      </c>
      <c r="R469" s="9" t="n">
        <f aca="false">R468+Q469</f>
        <v>10953625.0800001</v>
      </c>
      <c r="S469" s="37" t="str">
        <f aca="false">IF(AND(R468&lt;0,R469&gt;=0,A469&lt;=MAX(120,Premissas!$B$15*12)),(A469-1)+(-R468)/Q469,"")</f>
        <v/>
      </c>
    </row>
    <row r="470" customFormat="false" ht="15" hidden="false" customHeight="false" outlineLevel="0" collapsed="false">
      <c r="A470" s="10" t="n">
        <f aca="false">A469+1</f>
        <v>466</v>
      </c>
      <c r="B470" s="36" t="n">
        <f aca="false">IF(Premissas!$B$9&lt;=1,1,MIN(1,Premissas!$B$8/100+(1-Premissas!$B$8/100)*(A470-1)/(Premissas!$B$9-1)))</f>
        <v>1</v>
      </c>
      <c r="C470" s="9" t="n">
        <f aca="false">IF(A470&lt;=Resultados!$B$9,Resultados!$B$10,0)</f>
        <v>0</v>
      </c>
      <c r="D470" s="9" t="n">
        <f aca="false">Resultados!$E$37*$B470-Resultados!$F$37*$B470-Premissas!$B$24-Resultados!$E$37*$B470*(Premissas!$B$14/100)</f>
        <v>19027</v>
      </c>
      <c r="E470" s="9" t="n">
        <f aca="false">D470-$C470</f>
        <v>19027</v>
      </c>
      <c r="F470" s="9" t="n">
        <f aca="false">F469+E470</f>
        <v>8476978.9</v>
      </c>
      <c r="G470" s="37" t="str">
        <f aca="false">IF(AND(F469&lt;0,F470&gt;=0,A470&lt;=MAX(120,Premissas!$B$15*12)),(A470-1)+(-F469)/E470,"")</f>
        <v/>
      </c>
      <c r="H470" s="9" t="n">
        <f aca="false">Resultados!$E$38*$B470-Resultados!$F$38*$B470-Premissas!$B$24-Resultados!$E$38*$B470*(Premissas!$B$14/100)</f>
        <v>24432.4</v>
      </c>
      <c r="I470" s="9" t="n">
        <f aca="false">H470-$C470</f>
        <v>24432.4</v>
      </c>
      <c r="J470" s="9" t="n">
        <f aca="false">J469+I470</f>
        <v>10978057.4800001</v>
      </c>
      <c r="K470" s="37" t="str">
        <f aca="false">IF(AND(J469&lt;0,J470&gt;=0,A470&lt;=MAX(120,Premissas!$B$15*12)),(A470-1)+(-J469)/I470,"")</f>
        <v/>
      </c>
      <c r="L470" s="9" t="n">
        <f aca="false">Resultados!$E$39*$B470-Resultados!$F$39*$B470-Premissas!$B$24-Resultados!$E$39*$B470*(Premissas!$B$14/100)</f>
        <v>29837.8</v>
      </c>
      <c r="M470" s="9" t="n">
        <f aca="false">L470-$C470</f>
        <v>29837.8</v>
      </c>
      <c r="N470" s="9" t="n">
        <f aca="false">N469+M470</f>
        <v>13479136.0600001</v>
      </c>
      <c r="O470" s="37" t="str">
        <f aca="false">IF(AND(N469&lt;0,N470&gt;=0,A470&lt;=MAX(120,Premissas!$B$15*12)),(A470-1)+(-N469)/M470,"")</f>
        <v/>
      </c>
      <c r="P470" s="9" t="n">
        <f aca="false">Resultados!$B$19*$B470-Resultados!$B$20*$B470-Premissas!$B$24-Resultados!$B$19*$B470*(Premissas!$B$14/100)</f>
        <v>24432.4</v>
      </c>
      <c r="Q470" s="9" t="n">
        <f aca="false">P470-$C470</f>
        <v>24432.4</v>
      </c>
      <c r="R470" s="9" t="n">
        <f aca="false">R469+Q470</f>
        <v>10978057.4800001</v>
      </c>
      <c r="S470" s="37" t="str">
        <f aca="false">IF(AND(R469&lt;0,R470&gt;=0,A470&lt;=MAX(120,Premissas!$B$15*12)),(A470-1)+(-R469)/Q470,"")</f>
        <v/>
      </c>
    </row>
    <row r="471" customFormat="false" ht="15" hidden="false" customHeight="false" outlineLevel="0" collapsed="false">
      <c r="A471" s="10" t="n">
        <f aca="false">A470+1</f>
        <v>467</v>
      </c>
      <c r="B471" s="36" t="n">
        <f aca="false">IF(Premissas!$B$9&lt;=1,1,MIN(1,Premissas!$B$8/100+(1-Premissas!$B$8/100)*(A471-1)/(Premissas!$B$9-1)))</f>
        <v>1</v>
      </c>
      <c r="C471" s="9" t="n">
        <f aca="false">IF(A471&lt;=Resultados!$B$9,Resultados!$B$10,0)</f>
        <v>0</v>
      </c>
      <c r="D471" s="9" t="n">
        <f aca="false">Resultados!$E$37*$B471-Resultados!$F$37*$B471-Premissas!$B$24-Resultados!$E$37*$B471*(Premissas!$B$14/100)</f>
        <v>19027</v>
      </c>
      <c r="E471" s="9" t="n">
        <f aca="false">D471-$C471</f>
        <v>19027</v>
      </c>
      <c r="F471" s="9" t="n">
        <f aca="false">F470+E471</f>
        <v>8496005.9</v>
      </c>
      <c r="G471" s="37" t="str">
        <f aca="false">IF(AND(F470&lt;0,F471&gt;=0,A471&lt;=MAX(120,Premissas!$B$15*12)),(A471-1)+(-F470)/E471,"")</f>
        <v/>
      </c>
      <c r="H471" s="9" t="n">
        <f aca="false">Resultados!$E$38*$B471-Resultados!$F$38*$B471-Premissas!$B$24-Resultados!$E$38*$B471*(Premissas!$B$14/100)</f>
        <v>24432.4</v>
      </c>
      <c r="I471" s="9" t="n">
        <f aca="false">H471-$C471</f>
        <v>24432.4</v>
      </c>
      <c r="J471" s="9" t="n">
        <f aca="false">J470+I471</f>
        <v>11002489.8800001</v>
      </c>
      <c r="K471" s="37" t="str">
        <f aca="false">IF(AND(J470&lt;0,J471&gt;=0,A471&lt;=MAX(120,Premissas!$B$15*12)),(A471-1)+(-J470)/I471,"")</f>
        <v/>
      </c>
      <c r="L471" s="9" t="n">
        <f aca="false">Resultados!$E$39*$B471-Resultados!$F$39*$B471-Premissas!$B$24-Resultados!$E$39*$B471*(Premissas!$B$14/100)</f>
        <v>29837.8</v>
      </c>
      <c r="M471" s="9" t="n">
        <f aca="false">L471-$C471</f>
        <v>29837.8</v>
      </c>
      <c r="N471" s="9" t="n">
        <f aca="false">N470+M471</f>
        <v>13508973.8600001</v>
      </c>
      <c r="O471" s="37" t="str">
        <f aca="false">IF(AND(N470&lt;0,N471&gt;=0,A471&lt;=MAX(120,Premissas!$B$15*12)),(A471-1)+(-N470)/M471,"")</f>
        <v/>
      </c>
      <c r="P471" s="9" t="n">
        <f aca="false">Resultados!$B$19*$B471-Resultados!$B$20*$B471-Premissas!$B$24-Resultados!$B$19*$B471*(Premissas!$B$14/100)</f>
        <v>24432.4</v>
      </c>
      <c r="Q471" s="9" t="n">
        <f aca="false">P471-$C471</f>
        <v>24432.4</v>
      </c>
      <c r="R471" s="9" t="n">
        <f aca="false">R470+Q471</f>
        <v>11002489.8800001</v>
      </c>
      <c r="S471" s="37" t="str">
        <f aca="false">IF(AND(R470&lt;0,R471&gt;=0,A471&lt;=MAX(120,Premissas!$B$15*12)),(A471-1)+(-R470)/Q471,"")</f>
        <v/>
      </c>
    </row>
    <row r="472" customFormat="false" ht="15" hidden="false" customHeight="false" outlineLevel="0" collapsed="false">
      <c r="A472" s="10" t="n">
        <f aca="false">A471+1</f>
        <v>468</v>
      </c>
      <c r="B472" s="36" t="n">
        <f aca="false">IF(Premissas!$B$9&lt;=1,1,MIN(1,Premissas!$B$8/100+(1-Premissas!$B$8/100)*(A472-1)/(Premissas!$B$9-1)))</f>
        <v>1</v>
      </c>
      <c r="C472" s="9" t="n">
        <f aca="false">IF(A472&lt;=Resultados!$B$9,Resultados!$B$10,0)</f>
        <v>0</v>
      </c>
      <c r="D472" s="9" t="n">
        <f aca="false">Resultados!$E$37*$B472-Resultados!$F$37*$B472-Premissas!$B$24-Resultados!$E$37*$B472*(Premissas!$B$14/100)</f>
        <v>19027</v>
      </c>
      <c r="E472" s="9" t="n">
        <f aca="false">D472-$C472</f>
        <v>19027</v>
      </c>
      <c r="F472" s="9" t="n">
        <f aca="false">F471+E472</f>
        <v>8515032.9</v>
      </c>
      <c r="G472" s="37" t="str">
        <f aca="false">IF(AND(F471&lt;0,F472&gt;=0,A472&lt;=MAX(120,Premissas!$B$15*12)),(A472-1)+(-F471)/E472,"")</f>
        <v/>
      </c>
      <c r="H472" s="9" t="n">
        <f aca="false">Resultados!$E$38*$B472-Resultados!$F$38*$B472-Premissas!$B$24-Resultados!$E$38*$B472*(Premissas!$B$14/100)</f>
        <v>24432.4</v>
      </c>
      <c r="I472" s="9" t="n">
        <f aca="false">H472-$C472</f>
        <v>24432.4</v>
      </c>
      <c r="J472" s="9" t="n">
        <f aca="false">J471+I472</f>
        <v>11026922.2800001</v>
      </c>
      <c r="K472" s="37" t="str">
        <f aca="false">IF(AND(J471&lt;0,J472&gt;=0,A472&lt;=MAX(120,Premissas!$B$15*12)),(A472-1)+(-J471)/I472,"")</f>
        <v/>
      </c>
      <c r="L472" s="9" t="n">
        <f aca="false">Resultados!$E$39*$B472-Resultados!$F$39*$B472-Premissas!$B$24-Resultados!$E$39*$B472*(Premissas!$B$14/100)</f>
        <v>29837.8</v>
      </c>
      <c r="M472" s="9" t="n">
        <f aca="false">L472-$C472</f>
        <v>29837.8</v>
      </c>
      <c r="N472" s="9" t="n">
        <f aca="false">N471+M472</f>
        <v>13538811.6600001</v>
      </c>
      <c r="O472" s="37" t="str">
        <f aca="false">IF(AND(N471&lt;0,N472&gt;=0,A472&lt;=MAX(120,Premissas!$B$15*12)),(A472-1)+(-N471)/M472,"")</f>
        <v/>
      </c>
      <c r="P472" s="9" t="n">
        <f aca="false">Resultados!$B$19*$B472-Resultados!$B$20*$B472-Premissas!$B$24-Resultados!$B$19*$B472*(Premissas!$B$14/100)</f>
        <v>24432.4</v>
      </c>
      <c r="Q472" s="9" t="n">
        <f aca="false">P472-$C472</f>
        <v>24432.4</v>
      </c>
      <c r="R472" s="9" t="n">
        <f aca="false">R471+Q472</f>
        <v>11026922.2800001</v>
      </c>
      <c r="S472" s="37" t="str">
        <f aca="false">IF(AND(R471&lt;0,R472&gt;=0,A472&lt;=MAX(120,Premissas!$B$15*12)),(A472-1)+(-R471)/Q472,"")</f>
        <v/>
      </c>
    </row>
    <row r="473" customFormat="false" ht="15" hidden="false" customHeight="false" outlineLevel="0" collapsed="false">
      <c r="A473" s="10" t="n">
        <f aca="false">A472+1</f>
        <v>469</v>
      </c>
      <c r="B473" s="36" t="n">
        <f aca="false">IF(Premissas!$B$9&lt;=1,1,MIN(1,Premissas!$B$8/100+(1-Premissas!$B$8/100)*(A473-1)/(Premissas!$B$9-1)))</f>
        <v>1</v>
      </c>
      <c r="C473" s="9" t="n">
        <f aca="false">IF(A473&lt;=Resultados!$B$9,Resultados!$B$10,0)</f>
        <v>0</v>
      </c>
      <c r="D473" s="9" t="n">
        <f aca="false">Resultados!$E$37*$B473-Resultados!$F$37*$B473-Premissas!$B$24-Resultados!$E$37*$B473*(Premissas!$B$14/100)</f>
        <v>19027</v>
      </c>
      <c r="E473" s="9" t="n">
        <f aca="false">D473-$C473</f>
        <v>19027</v>
      </c>
      <c r="F473" s="9" t="n">
        <f aca="false">F472+E473</f>
        <v>8534059.9</v>
      </c>
      <c r="G473" s="37" t="str">
        <f aca="false">IF(AND(F472&lt;0,F473&gt;=0,A473&lt;=MAX(120,Premissas!$B$15*12)),(A473-1)+(-F472)/E473,"")</f>
        <v/>
      </c>
      <c r="H473" s="9" t="n">
        <f aca="false">Resultados!$E$38*$B473-Resultados!$F$38*$B473-Premissas!$B$24-Resultados!$E$38*$B473*(Premissas!$B$14/100)</f>
        <v>24432.4</v>
      </c>
      <c r="I473" s="9" t="n">
        <f aca="false">H473-$C473</f>
        <v>24432.4</v>
      </c>
      <c r="J473" s="9" t="n">
        <f aca="false">J472+I473</f>
        <v>11051354.6800001</v>
      </c>
      <c r="K473" s="37" t="str">
        <f aca="false">IF(AND(J472&lt;0,J473&gt;=0,A473&lt;=MAX(120,Premissas!$B$15*12)),(A473-1)+(-J472)/I473,"")</f>
        <v/>
      </c>
      <c r="L473" s="9" t="n">
        <f aca="false">Resultados!$E$39*$B473-Resultados!$F$39*$B473-Premissas!$B$24-Resultados!$E$39*$B473*(Premissas!$B$14/100)</f>
        <v>29837.8</v>
      </c>
      <c r="M473" s="9" t="n">
        <f aca="false">L473-$C473</f>
        <v>29837.8</v>
      </c>
      <c r="N473" s="9" t="n">
        <f aca="false">N472+M473</f>
        <v>13568649.4600001</v>
      </c>
      <c r="O473" s="37" t="str">
        <f aca="false">IF(AND(N472&lt;0,N473&gt;=0,A473&lt;=MAX(120,Premissas!$B$15*12)),(A473-1)+(-N472)/M473,"")</f>
        <v/>
      </c>
      <c r="P473" s="9" t="n">
        <f aca="false">Resultados!$B$19*$B473-Resultados!$B$20*$B473-Premissas!$B$24-Resultados!$B$19*$B473*(Premissas!$B$14/100)</f>
        <v>24432.4</v>
      </c>
      <c r="Q473" s="9" t="n">
        <f aca="false">P473-$C473</f>
        <v>24432.4</v>
      </c>
      <c r="R473" s="9" t="n">
        <f aca="false">R472+Q473</f>
        <v>11051354.6800001</v>
      </c>
      <c r="S473" s="37" t="str">
        <f aca="false">IF(AND(R472&lt;0,R473&gt;=0,A473&lt;=MAX(120,Premissas!$B$15*12)),(A473-1)+(-R472)/Q473,"")</f>
        <v/>
      </c>
    </row>
    <row r="474" customFormat="false" ht="15" hidden="false" customHeight="false" outlineLevel="0" collapsed="false">
      <c r="A474" s="10" t="n">
        <f aca="false">A473+1</f>
        <v>470</v>
      </c>
      <c r="B474" s="36" t="n">
        <f aca="false">IF(Premissas!$B$9&lt;=1,1,MIN(1,Premissas!$B$8/100+(1-Premissas!$B$8/100)*(A474-1)/(Premissas!$B$9-1)))</f>
        <v>1</v>
      </c>
      <c r="C474" s="9" t="n">
        <f aca="false">IF(A474&lt;=Resultados!$B$9,Resultados!$B$10,0)</f>
        <v>0</v>
      </c>
      <c r="D474" s="9" t="n">
        <f aca="false">Resultados!$E$37*$B474-Resultados!$F$37*$B474-Premissas!$B$24-Resultados!$E$37*$B474*(Premissas!$B$14/100)</f>
        <v>19027</v>
      </c>
      <c r="E474" s="9" t="n">
        <f aca="false">D474-$C474</f>
        <v>19027</v>
      </c>
      <c r="F474" s="9" t="n">
        <f aca="false">F473+E474</f>
        <v>8553086.9</v>
      </c>
      <c r="G474" s="37" t="str">
        <f aca="false">IF(AND(F473&lt;0,F474&gt;=0,A474&lt;=MAX(120,Premissas!$B$15*12)),(A474-1)+(-F473)/E474,"")</f>
        <v/>
      </c>
      <c r="H474" s="9" t="n">
        <f aca="false">Resultados!$E$38*$B474-Resultados!$F$38*$B474-Premissas!$B$24-Resultados!$E$38*$B474*(Premissas!$B$14/100)</f>
        <v>24432.4</v>
      </c>
      <c r="I474" s="9" t="n">
        <f aca="false">H474-$C474</f>
        <v>24432.4</v>
      </c>
      <c r="J474" s="9" t="n">
        <f aca="false">J473+I474</f>
        <v>11075787.0800001</v>
      </c>
      <c r="K474" s="37" t="str">
        <f aca="false">IF(AND(J473&lt;0,J474&gt;=0,A474&lt;=MAX(120,Premissas!$B$15*12)),(A474-1)+(-J473)/I474,"")</f>
        <v/>
      </c>
      <c r="L474" s="9" t="n">
        <f aca="false">Resultados!$E$39*$B474-Resultados!$F$39*$B474-Premissas!$B$24-Resultados!$E$39*$B474*(Premissas!$B$14/100)</f>
        <v>29837.8</v>
      </c>
      <c r="M474" s="9" t="n">
        <f aca="false">L474-$C474</f>
        <v>29837.8</v>
      </c>
      <c r="N474" s="9" t="n">
        <f aca="false">N473+M474</f>
        <v>13598487.2600001</v>
      </c>
      <c r="O474" s="37" t="str">
        <f aca="false">IF(AND(N473&lt;0,N474&gt;=0,A474&lt;=MAX(120,Premissas!$B$15*12)),(A474-1)+(-N473)/M474,"")</f>
        <v/>
      </c>
      <c r="P474" s="9" t="n">
        <f aca="false">Resultados!$B$19*$B474-Resultados!$B$20*$B474-Premissas!$B$24-Resultados!$B$19*$B474*(Premissas!$B$14/100)</f>
        <v>24432.4</v>
      </c>
      <c r="Q474" s="9" t="n">
        <f aca="false">P474-$C474</f>
        <v>24432.4</v>
      </c>
      <c r="R474" s="9" t="n">
        <f aca="false">R473+Q474</f>
        <v>11075787.0800001</v>
      </c>
      <c r="S474" s="37" t="str">
        <f aca="false">IF(AND(R473&lt;0,R474&gt;=0,A474&lt;=MAX(120,Premissas!$B$15*12)),(A474-1)+(-R473)/Q474,"")</f>
        <v/>
      </c>
    </row>
    <row r="475" customFormat="false" ht="15" hidden="false" customHeight="false" outlineLevel="0" collapsed="false">
      <c r="A475" s="10" t="n">
        <f aca="false">A474+1</f>
        <v>471</v>
      </c>
      <c r="B475" s="36" t="n">
        <f aca="false">IF(Premissas!$B$9&lt;=1,1,MIN(1,Premissas!$B$8/100+(1-Premissas!$B$8/100)*(A475-1)/(Premissas!$B$9-1)))</f>
        <v>1</v>
      </c>
      <c r="C475" s="9" t="n">
        <f aca="false">IF(A475&lt;=Resultados!$B$9,Resultados!$B$10,0)</f>
        <v>0</v>
      </c>
      <c r="D475" s="9" t="n">
        <f aca="false">Resultados!$E$37*$B475-Resultados!$F$37*$B475-Premissas!$B$24-Resultados!$E$37*$B475*(Premissas!$B$14/100)</f>
        <v>19027</v>
      </c>
      <c r="E475" s="9" t="n">
        <f aca="false">D475-$C475</f>
        <v>19027</v>
      </c>
      <c r="F475" s="9" t="n">
        <f aca="false">F474+E475</f>
        <v>8572113.9</v>
      </c>
      <c r="G475" s="37" t="str">
        <f aca="false">IF(AND(F474&lt;0,F475&gt;=0,A475&lt;=MAX(120,Premissas!$B$15*12)),(A475-1)+(-F474)/E475,"")</f>
        <v/>
      </c>
      <c r="H475" s="9" t="n">
        <f aca="false">Resultados!$E$38*$B475-Resultados!$F$38*$B475-Premissas!$B$24-Resultados!$E$38*$B475*(Premissas!$B$14/100)</f>
        <v>24432.4</v>
      </c>
      <c r="I475" s="9" t="n">
        <f aca="false">H475-$C475</f>
        <v>24432.4</v>
      </c>
      <c r="J475" s="9" t="n">
        <f aca="false">J474+I475</f>
        <v>11100219.4800001</v>
      </c>
      <c r="K475" s="37" t="str">
        <f aca="false">IF(AND(J474&lt;0,J475&gt;=0,A475&lt;=MAX(120,Premissas!$B$15*12)),(A475-1)+(-J474)/I475,"")</f>
        <v/>
      </c>
      <c r="L475" s="9" t="n">
        <f aca="false">Resultados!$E$39*$B475-Resultados!$F$39*$B475-Premissas!$B$24-Resultados!$E$39*$B475*(Premissas!$B$14/100)</f>
        <v>29837.8</v>
      </c>
      <c r="M475" s="9" t="n">
        <f aca="false">L475-$C475</f>
        <v>29837.8</v>
      </c>
      <c r="N475" s="9" t="n">
        <f aca="false">N474+M475</f>
        <v>13628325.0600001</v>
      </c>
      <c r="O475" s="37" t="str">
        <f aca="false">IF(AND(N474&lt;0,N475&gt;=0,A475&lt;=MAX(120,Premissas!$B$15*12)),(A475-1)+(-N474)/M475,"")</f>
        <v/>
      </c>
      <c r="P475" s="9" t="n">
        <f aca="false">Resultados!$B$19*$B475-Resultados!$B$20*$B475-Premissas!$B$24-Resultados!$B$19*$B475*(Premissas!$B$14/100)</f>
        <v>24432.4</v>
      </c>
      <c r="Q475" s="9" t="n">
        <f aca="false">P475-$C475</f>
        <v>24432.4</v>
      </c>
      <c r="R475" s="9" t="n">
        <f aca="false">R474+Q475</f>
        <v>11100219.4800001</v>
      </c>
      <c r="S475" s="37" t="str">
        <f aca="false">IF(AND(R474&lt;0,R475&gt;=0,A475&lt;=MAX(120,Premissas!$B$15*12)),(A475-1)+(-R474)/Q475,"")</f>
        <v/>
      </c>
    </row>
    <row r="476" customFormat="false" ht="15" hidden="false" customHeight="false" outlineLevel="0" collapsed="false">
      <c r="A476" s="10" t="n">
        <f aca="false">A475+1</f>
        <v>472</v>
      </c>
      <c r="B476" s="36" t="n">
        <f aca="false">IF(Premissas!$B$9&lt;=1,1,MIN(1,Premissas!$B$8/100+(1-Premissas!$B$8/100)*(A476-1)/(Premissas!$B$9-1)))</f>
        <v>1</v>
      </c>
      <c r="C476" s="9" t="n">
        <f aca="false">IF(A476&lt;=Resultados!$B$9,Resultados!$B$10,0)</f>
        <v>0</v>
      </c>
      <c r="D476" s="9" t="n">
        <f aca="false">Resultados!$E$37*$B476-Resultados!$F$37*$B476-Premissas!$B$24-Resultados!$E$37*$B476*(Premissas!$B$14/100)</f>
        <v>19027</v>
      </c>
      <c r="E476" s="9" t="n">
        <f aca="false">D476-$C476</f>
        <v>19027</v>
      </c>
      <c r="F476" s="9" t="n">
        <f aca="false">F475+E476</f>
        <v>8591140.9</v>
      </c>
      <c r="G476" s="37" t="str">
        <f aca="false">IF(AND(F475&lt;0,F476&gt;=0,A476&lt;=MAX(120,Premissas!$B$15*12)),(A476-1)+(-F475)/E476,"")</f>
        <v/>
      </c>
      <c r="H476" s="9" t="n">
        <f aca="false">Resultados!$E$38*$B476-Resultados!$F$38*$B476-Premissas!$B$24-Resultados!$E$38*$B476*(Premissas!$B$14/100)</f>
        <v>24432.4</v>
      </c>
      <c r="I476" s="9" t="n">
        <f aca="false">H476-$C476</f>
        <v>24432.4</v>
      </c>
      <c r="J476" s="9" t="n">
        <f aca="false">J475+I476</f>
        <v>11124651.8800001</v>
      </c>
      <c r="K476" s="37" t="str">
        <f aca="false">IF(AND(J475&lt;0,J476&gt;=0,A476&lt;=MAX(120,Premissas!$B$15*12)),(A476-1)+(-J475)/I476,"")</f>
        <v/>
      </c>
      <c r="L476" s="9" t="n">
        <f aca="false">Resultados!$E$39*$B476-Resultados!$F$39*$B476-Premissas!$B$24-Resultados!$E$39*$B476*(Premissas!$B$14/100)</f>
        <v>29837.8</v>
      </c>
      <c r="M476" s="9" t="n">
        <f aca="false">L476-$C476</f>
        <v>29837.8</v>
      </c>
      <c r="N476" s="9" t="n">
        <f aca="false">N475+M476</f>
        <v>13658162.8600001</v>
      </c>
      <c r="O476" s="37" t="str">
        <f aca="false">IF(AND(N475&lt;0,N476&gt;=0,A476&lt;=MAX(120,Premissas!$B$15*12)),(A476-1)+(-N475)/M476,"")</f>
        <v/>
      </c>
      <c r="P476" s="9" t="n">
        <f aca="false">Resultados!$B$19*$B476-Resultados!$B$20*$B476-Premissas!$B$24-Resultados!$B$19*$B476*(Premissas!$B$14/100)</f>
        <v>24432.4</v>
      </c>
      <c r="Q476" s="9" t="n">
        <f aca="false">P476-$C476</f>
        <v>24432.4</v>
      </c>
      <c r="R476" s="9" t="n">
        <f aca="false">R475+Q476</f>
        <v>11124651.8800001</v>
      </c>
      <c r="S476" s="37" t="str">
        <f aca="false">IF(AND(R475&lt;0,R476&gt;=0,A476&lt;=MAX(120,Premissas!$B$15*12)),(A476-1)+(-R475)/Q476,"")</f>
        <v/>
      </c>
    </row>
    <row r="477" customFormat="false" ht="15" hidden="false" customHeight="false" outlineLevel="0" collapsed="false">
      <c r="A477" s="10" t="n">
        <f aca="false">A476+1</f>
        <v>473</v>
      </c>
      <c r="B477" s="36" t="n">
        <f aca="false">IF(Premissas!$B$9&lt;=1,1,MIN(1,Premissas!$B$8/100+(1-Premissas!$B$8/100)*(A477-1)/(Premissas!$B$9-1)))</f>
        <v>1</v>
      </c>
      <c r="C477" s="9" t="n">
        <f aca="false">IF(A477&lt;=Resultados!$B$9,Resultados!$B$10,0)</f>
        <v>0</v>
      </c>
      <c r="D477" s="9" t="n">
        <f aca="false">Resultados!$E$37*$B477-Resultados!$F$37*$B477-Premissas!$B$24-Resultados!$E$37*$B477*(Premissas!$B$14/100)</f>
        <v>19027</v>
      </c>
      <c r="E477" s="9" t="n">
        <f aca="false">D477-$C477</f>
        <v>19027</v>
      </c>
      <c r="F477" s="9" t="n">
        <f aca="false">F476+E477</f>
        <v>8610167.9</v>
      </c>
      <c r="G477" s="37" t="str">
        <f aca="false">IF(AND(F476&lt;0,F477&gt;=0,A477&lt;=MAX(120,Premissas!$B$15*12)),(A477-1)+(-F476)/E477,"")</f>
        <v/>
      </c>
      <c r="H477" s="9" t="n">
        <f aca="false">Resultados!$E$38*$B477-Resultados!$F$38*$B477-Premissas!$B$24-Resultados!$E$38*$B477*(Premissas!$B$14/100)</f>
        <v>24432.4</v>
      </c>
      <c r="I477" s="9" t="n">
        <f aca="false">H477-$C477</f>
        <v>24432.4</v>
      </c>
      <c r="J477" s="9" t="n">
        <f aca="false">J476+I477</f>
        <v>11149084.2800001</v>
      </c>
      <c r="K477" s="37" t="str">
        <f aca="false">IF(AND(J476&lt;0,J477&gt;=0,A477&lt;=MAX(120,Premissas!$B$15*12)),(A477-1)+(-J476)/I477,"")</f>
        <v/>
      </c>
      <c r="L477" s="9" t="n">
        <f aca="false">Resultados!$E$39*$B477-Resultados!$F$39*$B477-Premissas!$B$24-Resultados!$E$39*$B477*(Premissas!$B$14/100)</f>
        <v>29837.8</v>
      </c>
      <c r="M477" s="9" t="n">
        <f aca="false">L477-$C477</f>
        <v>29837.8</v>
      </c>
      <c r="N477" s="9" t="n">
        <f aca="false">N476+M477</f>
        <v>13688000.6600001</v>
      </c>
      <c r="O477" s="37" t="str">
        <f aca="false">IF(AND(N476&lt;0,N477&gt;=0,A477&lt;=MAX(120,Premissas!$B$15*12)),(A477-1)+(-N476)/M477,"")</f>
        <v/>
      </c>
      <c r="P477" s="9" t="n">
        <f aca="false">Resultados!$B$19*$B477-Resultados!$B$20*$B477-Premissas!$B$24-Resultados!$B$19*$B477*(Premissas!$B$14/100)</f>
        <v>24432.4</v>
      </c>
      <c r="Q477" s="9" t="n">
        <f aca="false">P477-$C477</f>
        <v>24432.4</v>
      </c>
      <c r="R477" s="9" t="n">
        <f aca="false">R476+Q477</f>
        <v>11149084.2800001</v>
      </c>
      <c r="S477" s="37" t="str">
        <f aca="false">IF(AND(R476&lt;0,R477&gt;=0,A477&lt;=MAX(120,Premissas!$B$15*12)),(A477-1)+(-R476)/Q477,"")</f>
        <v/>
      </c>
    </row>
    <row r="478" customFormat="false" ht="15" hidden="false" customHeight="false" outlineLevel="0" collapsed="false">
      <c r="A478" s="10" t="n">
        <f aca="false">A477+1</f>
        <v>474</v>
      </c>
      <c r="B478" s="36" t="n">
        <f aca="false">IF(Premissas!$B$9&lt;=1,1,MIN(1,Premissas!$B$8/100+(1-Premissas!$B$8/100)*(A478-1)/(Premissas!$B$9-1)))</f>
        <v>1</v>
      </c>
      <c r="C478" s="9" t="n">
        <f aca="false">IF(A478&lt;=Resultados!$B$9,Resultados!$B$10,0)</f>
        <v>0</v>
      </c>
      <c r="D478" s="9" t="n">
        <f aca="false">Resultados!$E$37*$B478-Resultados!$F$37*$B478-Premissas!$B$24-Resultados!$E$37*$B478*(Premissas!$B$14/100)</f>
        <v>19027</v>
      </c>
      <c r="E478" s="9" t="n">
        <f aca="false">D478-$C478</f>
        <v>19027</v>
      </c>
      <c r="F478" s="9" t="n">
        <f aca="false">F477+E478</f>
        <v>8629194.9</v>
      </c>
      <c r="G478" s="37" t="str">
        <f aca="false">IF(AND(F477&lt;0,F478&gt;=0,A478&lt;=MAX(120,Premissas!$B$15*12)),(A478-1)+(-F477)/E478,"")</f>
        <v/>
      </c>
      <c r="H478" s="9" t="n">
        <f aca="false">Resultados!$E$38*$B478-Resultados!$F$38*$B478-Premissas!$B$24-Resultados!$E$38*$B478*(Premissas!$B$14/100)</f>
        <v>24432.4</v>
      </c>
      <c r="I478" s="9" t="n">
        <f aca="false">H478-$C478</f>
        <v>24432.4</v>
      </c>
      <c r="J478" s="9" t="n">
        <f aca="false">J477+I478</f>
        <v>11173516.6800001</v>
      </c>
      <c r="K478" s="37" t="str">
        <f aca="false">IF(AND(J477&lt;0,J478&gt;=0,A478&lt;=MAX(120,Premissas!$B$15*12)),(A478-1)+(-J477)/I478,"")</f>
        <v/>
      </c>
      <c r="L478" s="9" t="n">
        <f aca="false">Resultados!$E$39*$B478-Resultados!$F$39*$B478-Premissas!$B$24-Resultados!$E$39*$B478*(Premissas!$B$14/100)</f>
        <v>29837.8</v>
      </c>
      <c r="M478" s="9" t="n">
        <f aca="false">L478-$C478</f>
        <v>29837.8</v>
      </c>
      <c r="N478" s="9" t="n">
        <f aca="false">N477+M478</f>
        <v>13717838.4600001</v>
      </c>
      <c r="O478" s="37" t="str">
        <f aca="false">IF(AND(N477&lt;0,N478&gt;=0,A478&lt;=MAX(120,Premissas!$B$15*12)),(A478-1)+(-N477)/M478,"")</f>
        <v/>
      </c>
      <c r="P478" s="9" t="n">
        <f aca="false">Resultados!$B$19*$B478-Resultados!$B$20*$B478-Premissas!$B$24-Resultados!$B$19*$B478*(Premissas!$B$14/100)</f>
        <v>24432.4</v>
      </c>
      <c r="Q478" s="9" t="n">
        <f aca="false">P478-$C478</f>
        <v>24432.4</v>
      </c>
      <c r="R478" s="9" t="n">
        <f aca="false">R477+Q478</f>
        <v>11173516.6800001</v>
      </c>
      <c r="S478" s="37" t="str">
        <f aca="false">IF(AND(R477&lt;0,R478&gt;=0,A478&lt;=MAX(120,Premissas!$B$15*12)),(A478-1)+(-R477)/Q478,"")</f>
        <v/>
      </c>
    </row>
    <row r="479" customFormat="false" ht="15" hidden="false" customHeight="false" outlineLevel="0" collapsed="false">
      <c r="A479" s="10" t="n">
        <f aca="false">A478+1</f>
        <v>475</v>
      </c>
      <c r="B479" s="36" t="n">
        <f aca="false">IF(Premissas!$B$9&lt;=1,1,MIN(1,Premissas!$B$8/100+(1-Premissas!$B$8/100)*(A479-1)/(Premissas!$B$9-1)))</f>
        <v>1</v>
      </c>
      <c r="C479" s="9" t="n">
        <f aca="false">IF(A479&lt;=Resultados!$B$9,Resultados!$B$10,0)</f>
        <v>0</v>
      </c>
      <c r="D479" s="9" t="n">
        <f aca="false">Resultados!$E$37*$B479-Resultados!$F$37*$B479-Premissas!$B$24-Resultados!$E$37*$B479*(Premissas!$B$14/100)</f>
        <v>19027</v>
      </c>
      <c r="E479" s="9" t="n">
        <f aca="false">D479-$C479</f>
        <v>19027</v>
      </c>
      <c r="F479" s="9" t="n">
        <f aca="false">F478+E479</f>
        <v>8648221.9</v>
      </c>
      <c r="G479" s="37" t="str">
        <f aca="false">IF(AND(F478&lt;0,F479&gt;=0,A479&lt;=MAX(120,Premissas!$B$15*12)),(A479-1)+(-F478)/E479,"")</f>
        <v/>
      </c>
      <c r="H479" s="9" t="n">
        <f aca="false">Resultados!$E$38*$B479-Resultados!$F$38*$B479-Premissas!$B$24-Resultados!$E$38*$B479*(Premissas!$B$14/100)</f>
        <v>24432.4</v>
      </c>
      <c r="I479" s="9" t="n">
        <f aca="false">H479-$C479</f>
        <v>24432.4</v>
      </c>
      <c r="J479" s="9" t="n">
        <f aca="false">J478+I479</f>
        <v>11197949.0800001</v>
      </c>
      <c r="K479" s="37" t="str">
        <f aca="false">IF(AND(J478&lt;0,J479&gt;=0,A479&lt;=MAX(120,Premissas!$B$15*12)),(A479-1)+(-J478)/I479,"")</f>
        <v/>
      </c>
      <c r="L479" s="9" t="n">
        <f aca="false">Resultados!$E$39*$B479-Resultados!$F$39*$B479-Premissas!$B$24-Resultados!$E$39*$B479*(Premissas!$B$14/100)</f>
        <v>29837.8</v>
      </c>
      <c r="M479" s="9" t="n">
        <f aca="false">L479-$C479</f>
        <v>29837.8</v>
      </c>
      <c r="N479" s="9" t="n">
        <f aca="false">N478+M479</f>
        <v>13747676.2600001</v>
      </c>
      <c r="O479" s="37" t="str">
        <f aca="false">IF(AND(N478&lt;0,N479&gt;=0,A479&lt;=MAX(120,Premissas!$B$15*12)),(A479-1)+(-N478)/M479,"")</f>
        <v/>
      </c>
      <c r="P479" s="9" t="n">
        <f aca="false">Resultados!$B$19*$B479-Resultados!$B$20*$B479-Premissas!$B$24-Resultados!$B$19*$B479*(Premissas!$B$14/100)</f>
        <v>24432.4</v>
      </c>
      <c r="Q479" s="9" t="n">
        <f aca="false">P479-$C479</f>
        <v>24432.4</v>
      </c>
      <c r="R479" s="9" t="n">
        <f aca="false">R478+Q479</f>
        <v>11197949.0800001</v>
      </c>
      <c r="S479" s="37" t="str">
        <f aca="false">IF(AND(R478&lt;0,R479&gt;=0,A479&lt;=MAX(120,Premissas!$B$15*12)),(A479-1)+(-R478)/Q479,"")</f>
        <v/>
      </c>
    </row>
    <row r="480" customFormat="false" ht="15" hidden="false" customHeight="false" outlineLevel="0" collapsed="false">
      <c r="A480" s="10" t="n">
        <f aca="false">A479+1</f>
        <v>476</v>
      </c>
      <c r="B480" s="36" t="n">
        <f aca="false">IF(Premissas!$B$9&lt;=1,1,MIN(1,Premissas!$B$8/100+(1-Premissas!$B$8/100)*(A480-1)/(Premissas!$B$9-1)))</f>
        <v>1</v>
      </c>
      <c r="C480" s="9" t="n">
        <f aca="false">IF(A480&lt;=Resultados!$B$9,Resultados!$B$10,0)</f>
        <v>0</v>
      </c>
      <c r="D480" s="9" t="n">
        <f aca="false">Resultados!$E$37*$B480-Resultados!$F$37*$B480-Premissas!$B$24-Resultados!$E$37*$B480*(Premissas!$B$14/100)</f>
        <v>19027</v>
      </c>
      <c r="E480" s="9" t="n">
        <f aca="false">D480-$C480</f>
        <v>19027</v>
      </c>
      <c r="F480" s="9" t="n">
        <f aca="false">F479+E480</f>
        <v>8667248.9</v>
      </c>
      <c r="G480" s="37" t="str">
        <f aca="false">IF(AND(F479&lt;0,F480&gt;=0,A480&lt;=MAX(120,Premissas!$B$15*12)),(A480-1)+(-F479)/E480,"")</f>
        <v/>
      </c>
      <c r="H480" s="9" t="n">
        <f aca="false">Resultados!$E$38*$B480-Resultados!$F$38*$B480-Premissas!$B$24-Resultados!$E$38*$B480*(Premissas!$B$14/100)</f>
        <v>24432.4</v>
      </c>
      <c r="I480" s="9" t="n">
        <f aca="false">H480-$C480</f>
        <v>24432.4</v>
      </c>
      <c r="J480" s="9" t="n">
        <f aca="false">J479+I480</f>
        <v>11222381.4800001</v>
      </c>
      <c r="K480" s="37" t="str">
        <f aca="false">IF(AND(J479&lt;0,J480&gt;=0,A480&lt;=MAX(120,Premissas!$B$15*12)),(A480-1)+(-J479)/I480,"")</f>
        <v/>
      </c>
      <c r="L480" s="9" t="n">
        <f aca="false">Resultados!$E$39*$B480-Resultados!$F$39*$B480-Premissas!$B$24-Resultados!$E$39*$B480*(Premissas!$B$14/100)</f>
        <v>29837.8</v>
      </c>
      <c r="M480" s="9" t="n">
        <f aca="false">L480-$C480</f>
        <v>29837.8</v>
      </c>
      <c r="N480" s="9" t="n">
        <f aca="false">N479+M480</f>
        <v>13777514.0600001</v>
      </c>
      <c r="O480" s="37" t="str">
        <f aca="false">IF(AND(N479&lt;0,N480&gt;=0,A480&lt;=MAX(120,Premissas!$B$15*12)),(A480-1)+(-N479)/M480,"")</f>
        <v/>
      </c>
      <c r="P480" s="9" t="n">
        <f aca="false">Resultados!$B$19*$B480-Resultados!$B$20*$B480-Premissas!$B$24-Resultados!$B$19*$B480*(Premissas!$B$14/100)</f>
        <v>24432.4</v>
      </c>
      <c r="Q480" s="9" t="n">
        <f aca="false">P480-$C480</f>
        <v>24432.4</v>
      </c>
      <c r="R480" s="9" t="n">
        <f aca="false">R479+Q480</f>
        <v>11222381.4800001</v>
      </c>
      <c r="S480" s="37" t="str">
        <f aca="false">IF(AND(R479&lt;0,R480&gt;=0,A480&lt;=MAX(120,Premissas!$B$15*12)),(A480-1)+(-R479)/Q480,"")</f>
        <v/>
      </c>
    </row>
    <row r="481" customFormat="false" ht="15" hidden="false" customHeight="false" outlineLevel="0" collapsed="false">
      <c r="A481" s="10" t="n">
        <f aca="false">A480+1</f>
        <v>477</v>
      </c>
      <c r="B481" s="36" t="n">
        <f aca="false">IF(Premissas!$B$9&lt;=1,1,MIN(1,Premissas!$B$8/100+(1-Premissas!$B$8/100)*(A481-1)/(Premissas!$B$9-1)))</f>
        <v>1</v>
      </c>
      <c r="C481" s="9" t="n">
        <f aca="false">IF(A481&lt;=Resultados!$B$9,Resultados!$B$10,0)</f>
        <v>0</v>
      </c>
      <c r="D481" s="9" t="n">
        <f aca="false">Resultados!$E$37*$B481-Resultados!$F$37*$B481-Premissas!$B$24-Resultados!$E$37*$B481*(Premissas!$B$14/100)</f>
        <v>19027</v>
      </c>
      <c r="E481" s="9" t="n">
        <f aca="false">D481-$C481</f>
        <v>19027</v>
      </c>
      <c r="F481" s="9" t="n">
        <f aca="false">F480+E481</f>
        <v>8686275.9</v>
      </c>
      <c r="G481" s="37" t="str">
        <f aca="false">IF(AND(F480&lt;0,F481&gt;=0,A481&lt;=MAX(120,Premissas!$B$15*12)),(A481-1)+(-F480)/E481,"")</f>
        <v/>
      </c>
      <c r="H481" s="9" t="n">
        <f aca="false">Resultados!$E$38*$B481-Resultados!$F$38*$B481-Premissas!$B$24-Resultados!$E$38*$B481*(Premissas!$B$14/100)</f>
        <v>24432.4</v>
      </c>
      <c r="I481" s="9" t="n">
        <f aca="false">H481-$C481</f>
        <v>24432.4</v>
      </c>
      <c r="J481" s="9" t="n">
        <f aca="false">J480+I481</f>
        <v>11246813.8800001</v>
      </c>
      <c r="K481" s="37" t="str">
        <f aca="false">IF(AND(J480&lt;0,J481&gt;=0,A481&lt;=MAX(120,Premissas!$B$15*12)),(A481-1)+(-J480)/I481,"")</f>
        <v/>
      </c>
      <c r="L481" s="9" t="n">
        <f aca="false">Resultados!$E$39*$B481-Resultados!$F$39*$B481-Premissas!$B$24-Resultados!$E$39*$B481*(Premissas!$B$14/100)</f>
        <v>29837.8</v>
      </c>
      <c r="M481" s="9" t="n">
        <f aca="false">L481-$C481</f>
        <v>29837.8</v>
      </c>
      <c r="N481" s="9" t="n">
        <f aca="false">N480+M481</f>
        <v>13807351.8600001</v>
      </c>
      <c r="O481" s="37" t="str">
        <f aca="false">IF(AND(N480&lt;0,N481&gt;=0,A481&lt;=MAX(120,Premissas!$B$15*12)),(A481-1)+(-N480)/M481,"")</f>
        <v/>
      </c>
      <c r="P481" s="9" t="n">
        <f aca="false">Resultados!$B$19*$B481-Resultados!$B$20*$B481-Premissas!$B$24-Resultados!$B$19*$B481*(Premissas!$B$14/100)</f>
        <v>24432.4</v>
      </c>
      <c r="Q481" s="9" t="n">
        <f aca="false">P481-$C481</f>
        <v>24432.4</v>
      </c>
      <c r="R481" s="9" t="n">
        <f aca="false">R480+Q481</f>
        <v>11246813.8800001</v>
      </c>
      <c r="S481" s="37" t="str">
        <f aca="false">IF(AND(R480&lt;0,R481&gt;=0,A481&lt;=MAX(120,Premissas!$B$15*12)),(A481-1)+(-R480)/Q481,"")</f>
        <v/>
      </c>
    </row>
    <row r="482" customFormat="false" ht="15" hidden="false" customHeight="false" outlineLevel="0" collapsed="false">
      <c r="A482" s="10" t="n">
        <f aca="false">A481+1</f>
        <v>478</v>
      </c>
      <c r="B482" s="36" t="n">
        <f aca="false">IF(Premissas!$B$9&lt;=1,1,MIN(1,Premissas!$B$8/100+(1-Premissas!$B$8/100)*(A482-1)/(Premissas!$B$9-1)))</f>
        <v>1</v>
      </c>
      <c r="C482" s="9" t="n">
        <f aca="false">IF(A482&lt;=Resultados!$B$9,Resultados!$B$10,0)</f>
        <v>0</v>
      </c>
      <c r="D482" s="9" t="n">
        <f aca="false">Resultados!$E$37*$B482-Resultados!$F$37*$B482-Premissas!$B$24-Resultados!$E$37*$B482*(Premissas!$B$14/100)</f>
        <v>19027</v>
      </c>
      <c r="E482" s="9" t="n">
        <f aca="false">D482-$C482</f>
        <v>19027</v>
      </c>
      <c r="F482" s="9" t="n">
        <f aca="false">F481+E482</f>
        <v>8705302.9</v>
      </c>
      <c r="G482" s="37" t="str">
        <f aca="false">IF(AND(F481&lt;0,F482&gt;=0,A482&lt;=MAX(120,Premissas!$B$15*12)),(A482-1)+(-F481)/E482,"")</f>
        <v/>
      </c>
      <c r="H482" s="9" t="n">
        <f aca="false">Resultados!$E$38*$B482-Resultados!$F$38*$B482-Premissas!$B$24-Resultados!$E$38*$B482*(Premissas!$B$14/100)</f>
        <v>24432.4</v>
      </c>
      <c r="I482" s="9" t="n">
        <f aca="false">H482-$C482</f>
        <v>24432.4</v>
      </c>
      <c r="J482" s="9" t="n">
        <f aca="false">J481+I482</f>
        <v>11271246.2800001</v>
      </c>
      <c r="K482" s="37" t="str">
        <f aca="false">IF(AND(J481&lt;0,J482&gt;=0,A482&lt;=MAX(120,Premissas!$B$15*12)),(A482-1)+(-J481)/I482,"")</f>
        <v/>
      </c>
      <c r="L482" s="9" t="n">
        <f aca="false">Resultados!$E$39*$B482-Resultados!$F$39*$B482-Premissas!$B$24-Resultados!$E$39*$B482*(Premissas!$B$14/100)</f>
        <v>29837.8</v>
      </c>
      <c r="M482" s="9" t="n">
        <f aca="false">L482-$C482</f>
        <v>29837.8</v>
      </c>
      <c r="N482" s="9" t="n">
        <f aca="false">N481+M482</f>
        <v>13837189.6600001</v>
      </c>
      <c r="O482" s="37" t="str">
        <f aca="false">IF(AND(N481&lt;0,N482&gt;=0,A482&lt;=MAX(120,Premissas!$B$15*12)),(A482-1)+(-N481)/M482,"")</f>
        <v/>
      </c>
      <c r="P482" s="9" t="n">
        <f aca="false">Resultados!$B$19*$B482-Resultados!$B$20*$B482-Premissas!$B$24-Resultados!$B$19*$B482*(Premissas!$B$14/100)</f>
        <v>24432.4</v>
      </c>
      <c r="Q482" s="9" t="n">
        <f aca="false">P482-$C482</f>
        <v>24432.4</v>
      </c>
      <c r="R482" s="9" t="n">
        <f aca="false">R481+Q482</f>
        <v>11271246.2800001</v>
      </c>
      <c r="S482" s="37" t="str">
        <f aca="false">IF(AND(R481&lt;0,R482&gt;=0,A482&lt;=MAX(120,Premissas!$B$15*12)),(A482-1)+(-R481)/Q482,"")</f>
        <v/>
      </c>
    </row>
    <row r="483" customFormat="false" ht="15" hidden="false" customHeight="false" outlineLevel="0" collapsed="false">
      <c r="A483" s="10" t="n">
        <f aca="false">A482+1</f>
        <v>479</v>
      </c>
      <c r="B483" s="36" t="n">
        <f aca="false">IF(Premissas!$B$9&lt;=1,1,MIN(1,Premissas!$B$8/100+(1-Premissas!$B$8/100)*(A483-1)/(Premissas!$B$9-1)))</f>
        <v>1</v>
      </c>
      <c r="C483" s="9" t="n">
        <f aca="false">IF(A483&lt;=Resultados!$B$9,Resultados!$B$10,0)</f>
        <v>0</v>
      </c>
      <c r="D483" s="9" t="n">
        <f aca="false">Resultados!$E$37*$B483-Resultados!$F$37*$B483-Premissas!$B$24-Resultados!$E$37*$B483*(Premissas!$B$14/100)</f>
        <v>19027</v>
      </c>
      <c r="E483" s="9" t="n">
        <f aca="false">D483-$C483</f>
        <v>19027</v>
      </c>
      <c r="F483" s="9" t="n">
        <f aca="false">F482+E483</f>
        <v>8724329.9</v>
      </c>
      <c r="G483" s="37" t="str">
        <f aca="false">IF(AND(F482&lt;0,F483&gt;=0,A483&lt;=MAX(120,Premissas!$B$15*12)),(A483-1)+(-F482)/E483,"")</f>
        <v/>
      </c>
      <c r="H483" s="9" t="n">
        <f aca="false">Resultados!$E$38*$B483-Resultados!$F$38*$B483-Premissas!$B$24-Resultados!$E$38*$B483*(Premissas!$B$14/100)</f>
        <v>24432.4</v>
      </c>
      <c r="I483" s="9" t="n">
        <f aca="false">H483-$C483</f>
        <v>24432.4</v>
      </c>
      <c r="J483" s="9" t="n">
        <f aca="false">J482+I483</f>
        <v>11295678.6800001</v>
      </c>
      <c r="K483" s="37" t="str">
        <f aca="false">IF(AND(J482&lt;0,J483&gt;=0,A483&lt;=MAX(120,Premissas!$B$15*12)),(A483-1)+(-J482)/I483,"")</f>
        <v/>
      </c>
      <c r="L483" s="9" t="n">
        <f aca="false">Resultados!$E$39*$B483-Resultados!$F$39*$B483-Premissas!$B$24-Resultados!$E$39*$B483*(Premissas!$B$14/100)</f>
        <v>29837.8</v>
      </c>
      <c r="M483" s="9" t="n">
        <f aca="false">L483-$C483</f>
        <v>29837.8</v>
      </c>
      <c r="N483" s="9" t="n">
        <f aca="false">N482+M483</f>
        <v>13867027.4600001</v>
      </c>
      <c r="O483" s="37" t="str">
        <f aca="false">IF(AND(N482&lt;0,N483&gt;=0,A483&lt;=MAX(120,Premissas!$B$15*12)),(A483-1)+(-N482)/M483,"")</f>
        <v/>
      </c>
      <c r="P483" s="9" t="n">
        <f aca="false">Resultados!$B$19*$B483-Resultados!$B$20*$B483-Premissas!$B$24-Resultados!$B$19*$B483*(Premissas!$B$14/100)</f>
        <v>24432.4</v>
      </c>
      <c r="Q483" s="9" t="n">
        <f aca="false">P483-$C483</f>
        <v>24432.4</v>
      </c>
      <c r="R483" s="9" t="n">
        <f aca="false">R482+Q483</f>
        <v>11295678.6800001</v>
      </c>
      <c r="S483" s="37" t="str">
        <f aca="false">IF(AND(R482&lt;0,R483&gt;=0,A483&lt;=MAX(120,Premissas!$B$15*12)),(A483-1)+(-R482)/Q483,"")</f>
        <v/>
      </c>
    </row>
    <row r="484" customFormat="false" ht="15" hidden="false" customHeight="false" outlineLevel="0" collapsed="false">
      <c r="A484" s="10" t="n">
        <f aca="false">A483+1</f>
        <v>480</v>
      </c>
      <c r="B484" s="36" t="n">
        <f aca="false">IF(Premissas!$B$9&lt;=1,1,MIN(1,Premissas!$B$8/100+(1-Premissas!$B$8/100)*(A484-1)/(Premissas!$B$9-1)))</f>
        <v>1</v>
      </c>
      <c r="C484" s="9" t="n">
        <f aca="false">IF(A484&lt;=Resultados!$B$9,Resultados!$B$10,0)</f>
        <v>0</v>
      </c>
      <c r="D484" s="9" t="n">
        <f aca="false">Resultados!$E$37*$B484-Resultados!$F$37*$B484-Premissas!$B$24-Resultados!$E$37*$B484*(Premissas!$B$14/100)</f>
        <v>19027</v>
      </c>
      <c r="E484" s="9" t="n">
        <f aca="false">D484-$C484</f>
        <v>19027</v>
      </c>
      <c r="F484" s="9" t="n">
        <f aca="false">F483+E484</f>
        <v>8743356.9</v>
      </c>
      <c r="G484" s="37" t="str">
        <f aca="false">IF(AND(F483&lt;0,F484&gt;=0,A484&lt;=MAX(120,Premissas!$B$15*12)),(A484-1)+(-F483)/E484,"")</f>
        <v/>
      </c>
      <c r="H484" s="9" t="n">
        <f aca="false">Resultados!$E$38*$B484-Resultados!$F$38*$B484-Premissas!$B$24-Resultados!$E$38*$B484*(Premissas!$B$14/100)</f>
        <v>24432.4</v>
      </c>
      <c r="I484" s="9" t="n">
        <f aca="false">H484-$C484</f>
        <v>24432.4</v>
      </c>
      <c r="J484" s="9" t="n">
        <f aca="false">J483+I484</f>
        <v>11320111.0800001</v>
      </c>
      <c r="K484" s="37" t="str">
        <f aca="false">IF(AND(J483&lt;0,J484&gt;=0,A484&lt;=MAX(120,Premissas!$B$15*12)),(A484-1)+(-J483)/I484,"")</f>
        <v/>
      </c>
      <c r="L484" s="9" t="n">
        <f aca="false">Resultados!$E$39*$B484-Resultados!$F$39*$B484-Premissas!$B$24-Resultados!$E$39*$B484*(Premissas!$B$14/100)</f>
        <v>29837.8</v>
      </c>
      <c r="M484" s="9" t="n">
        <f aca="false">L484-$C484</f>
        <v>29837.8</v>
      </c>
      <c r="N484" s="9" t="n">
        <f aca="false">N483+M484</f>
        <v>13896865.2600001</v>
      </c>
      <c r="O484" s="37" t="str">
        <f aca="false">IF(AND(N483&lt;0,N484&gt;=0,A484&lt;=MAX(120,Premissas!$B$15*12)),(A484-1)+(-N483)/M484,"")</f>
        <v/>
      </c>
      <c r="P484" s="9" t="n">
        <f aca="false">Resultados!$B$19*$B484-Resultados!$B$20*$B484-Premissas!$B$24-Resultados!$B$19*$B484*(Premissas!$B$14/100)</f>
        <v>24432.4</v>
      </c>
      <c r="Q484" s="9" t="n">
        <f aca="false">P484-$C484</f>
        <v>24432.4</v>
      </c>
      <c r="R484" s="9" t="n">
        <f aca="false">R483+Q484</f>
        <v>11320111.0800001</v>
      </c>
      <c r="S484" s="37" t="str">
        <f aca="false">IF(AND(R483&lt;0,R484&gt;=0,A484&lt;=MAX(120,Premissas!$B$15*12)),(A484-1)+(-R483)/Q484,"")</f>
        <v/>
      </c>
    </row>
    <row r="485" customFormat="false" ht="15" hidden="false" customHeight="false" outlineLevel="0" collapsed="false">
      <c r="A485" s="10" t="n">
        <f aca="false">A484+1</f>
        <v>481</v>
      </c>
      <c r="B485" s="36" t="n">
        <f aca="false">IF(Premissas!$B$9&lt;=1,1,MIN(1,Premissas!$B$8/100+(1-Premissas!$B$8/100)*(A485-1)/(Premissas!$B$9-1)))</f>
        <v>1</v>
      </c>
      <c r="C485" s="9" t="n">
        <f aca="false">IF(A485&lt;=Resultados!$B$9,Resultados!$B$10,0)</f>
        <v>0</v>
      </c>
      <c r="D485" s="9" t="n">
        <f aca="false">Resultados!$E$37*$B485-Resultados!$F$37*$B485-Premissas!$B$24-Resultados!$E$37*$B485*(Premissas!$B$14/100)</f>
        <v>19027</v>
      </c>
      <c r="E485" s="9" t="n">
        <f aca="false">D485-$C485</f>
        <v>19027</v>
      </c>
      <c r="F485" s="9" t="n">
        <f aca="false">F484+E485</f>
        <v>8762383.9</v>
      </c>
      <c r="G485" s="37" t="str">
        <f aca="false">IF(AND(F484&lt;0,F485&gt;=0,A485&lt;=MAX(120,Premissas!$B$15*12)),(A485-1)+(-F484)/E485,"")</f>
        <v/>
      </c>
      <c r="H485" s="9" t="n">
        <f aca="false">Resultados!$E$38*$B485-Resultados!$F$38*$B485-Premissas!$B$24-Resultados!$E$38*$B485*(Premissas!$B$14/100)</f>
        <v>24432.4</v>
      </c>
      <c r="I485" s="9" t="n">
        <f aca="false">H485-$C485</f>
        <v>24432.4</v>
      </c>
      <c r="J485" s="9" t="n">
        <f aca="false">J484+I485</f>
        <v>11344543.4800001</v>
      </c>
      <c r="K485" s="37" t="str">
        <f aca="false">IF(AND(J484&lt;0,J485&gt;=0,A485&lt;=MAX(120,Premissas!$B$15*12)),(A485-1)+(-J484)/I485,"")</f>
        <v/>
      </c>
      <c r="L485" s="9" t="n">
        <f aca="false">Resultados!$E$39*$B485-Resultados!$F$39*$B485-Premissas!$B$24-Resultados!$E$39*$B485*(Premissas!$B$14/100)</f>
        <v>29837.8</v>
      </c>
      <c r="M485" s="9" t="n">
        <f aca="false">L485-$C485</f>
        <v>29837.8</v>
      </c>
      <c r="N485" s="9" t="n">
        <f aca="false">N484+M485</f>
        <v>13926703.0600001</v>
      </c>
      <c r="O485" s="37" t="str">
        <f aca="false">IF(AND(N484&lt;0,N485&gt;=0,A485&lt;=MAX(120,Premissas!$B$15*12)),(A485-1)+(-N484)/M485,"")</f>
        <v/>
      </c>
      <c r="P485" s="9" t="n">
        <f aca="false">Resultados!$B$19*$B485-Resultados!$B$20*$B485-Premissas!$B$24-Resultados!$B$19*$B485*(Premissas!$B$14/100)</f>
        <v>24432.4</v>
      </c>
      <c r="Q485" s="9" t="n">
        <f aca="false">P485-$C485</f>
        <v>24432.4</v>
      </c>
      <c r="R485" s="9" t="n">
        <f aca="false">R484+Q485</f>
        <v>11344543.4800001</v>
      </c>
      <c r="S485" s="37" t="str">
        <f aca="false">IF(AND(R484&lt;0,R485&gt;=0,A485&lt;=MAX(120,Premissas!$B$15*12)),(A485-1)+(-R484)/Q485,"")</f>
        <v/>
      </c>
    </row>
    <row r="486" customFormat="false" ht="15" hidden="false" customHeight="false" outlineLevel="0" collapsed="false">
      <c r="A486" s="10" t="n">
        <f aca="false">A485+1</f>
        <v>482</v>
      </c>
      <c r="B486" s="36" t="n">
        <f aca="false">IF(Premissas!$B$9&lt;=1,1,MIN(1,Premissas!$B$8/100+(1-Premissas!$B$8/100)*(A486-1)/(Premissas!$B$9-1)))</f>
        <v>1</v>
      </c>
      <c r="C486" s="9" t="n">
        <f aca="false">IF(A486&lt;=Resultados!$B$9,Resultados!$B$10,0)</f>
        <v>0</v>
      </c>
      <c r="D486" s="9" t="n">
        <f aca="false">Resultados!$E$37*$B486-Resultados!$F$37*$B486-Premissas!$B$24-Resultados!$E$37*$B486*(Premissas!$B$14/100)</f>
        <v>19027</v>
      </c>
      <c r="E486" s="9" t="n">
        <f aca="false">D486-$C486</f>
        <v>19027</v>
      </c>
      <c r="F486" s="9" t="n">
        <f aca="false">F485+E486</f>
        <v>8781410.9</v>
      </c>
      <c r="G486" s="37" t="str">
        <f aca="false">IF(AND(F485&lt;0,F486&gt;=0,A486&lt;=MAX(120,Premissas!$B$15*12)),(A486-1)+(-F485)/E486,"")</f>
        <v/>
      </c>
      <c r="H486" s="9" t="n">
        <f aca="false">Resultados!$E$38*$B486-Resultados!$F$38*$B486-Premissas!$B$24-Resultados!$E$38*$B486*(Premissas!$B$14/100)</f>
        <v>24432.4</v>
      </c>
      <c r="I486" s="9" t="n">
        <f aca="false">H486-$C486</f>
        <v>24432.4</v>
      </c>
      <c r="J486" s="9" t="n">
        <f aca="false">J485+I486</f>
        <v>11368975.8800001</v>
      </c>
      <c r="K486" s="37" t="str">
        <f aca="false">IF(AND(J485&lt;0,J486&gt;=0,A486&lt;=MAX(120,Premissas!$B$15*12)),(A486-1)+(-J485)/I486,"")</f>
        <v/>
      </c>
      <c r="L486" s="9" t="n">
        <f aca="false">Resultados!$E$39*$B486-Resultados!$F$39*$B486-Premissas!$B$24-Resultados!$E$39*$B486*(Premissas!$B$14/100)</f>
        <v>29837.8</v>
      </c>
      <c r="M486" s="9" t="n">
        <f aca="false">L486-$C486</f>
        <v>29837.8</v>
      </c>
      <c r="N486" s="9" t="n">
        <f aca="false">N485+M486</f>
        <v>13956540.8600001</v>
      </c>
      <c r="O486" s="37" t="str">
        <f aca="false">IF(AND(N485&lt;0,N486&gt;=0,A486&lt;=MAX(120,Premissas!$B$15*12)),(A486-1)+(-N485)/M486,"")</f>
        <v/>
      </c>
      <c r="P486" s="9" t="n">
        <f aca="false">Resultados!$B$19*$B486-Resultados!$B$20*$B486-Premissas!$B$24-Resultados!$B$19*$B486*(Premissas!$B$14/100)</f>
        <v>24432.4</v>
      </c>
      <c r="Q486" s="9" t="n">
        <f aca="false">P486-$C486</f>
        <v>24432.4</v>
      </c>
      <c r="R486" s="9" t="n">
        <f aca="false">R485+Q486</f>
        <v>11368975.8800001</v>
      </c>
      <c r="S486" s="37" t="str">
        <f aca="false">IF(AND(R485&lt;0,R486&gt;=0,A486&lt;=MAX(120,Premissas!$B$15*12)),(A486-1)+(-R485)/Q486,"")</f>
        <v/>
      </c>
    </row>
    <row r="487" customFormat="false" ht="15" hidden="false" customHeight="false" outlineLevel="0" collapsed="false">
      <c r="A487" s="10" t="n">
        <f aca="false">A486+1</f>
        <v>483</v>
      </c>
      <c r="B487" s="36" t="n">
        <f aca="false">IF(Premissas!$B$9&lt;=1,1,MIN(1,Premissas!$B$8/100+(1-Premissas!$B$8/100)*(A487-1)/(Premissas!$B$9-1)))</f>
        <v>1</v>
      </c>
      <c r="C487" s="9" t="n">
        <f aca="false">IF(A487&lt;=Resultados!$B$9,Resultados!$B$10,0)</f>
        <v>0</v>
      </c>
      <c r="D487" s="9" t="n">
        <f aca="false">Resultados!$E$37*$B487-Resultados!$F$37*$B487-Premissas!$B$24-Resultados!$E$37*$B487*(Premissas!$B$14/100)</f>
        <v>19027</v>
      </c>
      <c r="E487" s="9" t="n">
        <f aca="false">D487-$C487</f>
        <v>19027</v>
      </c>
      <c r="F487" s="9" t="n">
        <f aca="false">F486+E487</f>
        <v>8800437.9</v>
      </c>
      <c r="G487" s="37" t="str">
        <f aca="false">IF(AND(F486&lt;0,F487&gt;=0,A487&lt;=MAX(120,Premissas!$B$15*12)),(A487-1)+(-F486)/E487,"")</f>
        <v/>
      </c>
      <c r="H487" s="9" t="n">
        <f aca="false">Resultados!$E$38*$B487-Resultados!$F$38*$B487-Premissas!$B$24-Resultados!$E$38*$B487*(Premissas!$B$14/100)</f>
        <v>24432.4</v>
      </c>
      <c r="I487" s="9" t="n">
        <f aca="false">H487-$C487</f>
        <v>24432.4</v>
      </c>
      <c r="J487" s="9" t="n">
        <f aca="false">J486+I487</f>
        <v>11393408.2800001</v>
      </c>
      <c r="K487" s="37" t="str">
        <f aca="false">IF(AND(J486&lt;0,J487&gt;=0,A487&lt;=MAX(120,Premissas!$B$15*12)),(A487-1)+(-J486)/I487,"")</f>
        <v/>
      </c>
      <c r="L487" s="9" t="n">
        <f aca="false">Resultados!$E$39*$B487-Resultados!$F$39*$B487-Premissas!$B$24-Resultados!$E$39*$B487*(Premissas!$B$14/100)</f>
        <v>29837.8</v>
      </c>
      <c r="M487" s="9" t="n">
        <f aca="false">L487-$C487</f>
        <v>29837.8</v>
      </c>
      <c r="N487" s="9" t="n">
        <f aca="false">N486+M487</f>
        <v>13986378.6600001</v>
      </c>
      <c r="O487" s="37" t="str">
        <f aca="false">IF(AND(N486&lt;0,N487&gt;=0,A487&lt;=MAX(120,Premissas!$B$15*12)),(A487-1)+(-N486)/M487,"")</f>
        <v/>
      </c>
      <c r="P487" s="9" t="n">
        <f aca="false">Resultados!$B$19*$B487-Resultados!$B$20*$B487-Premissas!$B$24-Resultados!$B$19*$B487*(Premissas!$B$14/100)</f>
        <v>24432.4</v>
      </c>
      <c r="Q487" s="9" t="n">
        <f aca="false">P487-$C487</f>
        <v>24432.4</v>
      </c>
      <c r="R487" s="9" t="n">
        <f aca="false">R486+Q487</f>
        <v>11393408.2800001</v>
      </c>
      <c r="S487" s="37" t="str">
        <f aca="false">IF(AND(R486&lt;0,R487&gt;=0,A487&lt;=MAX(120,Premissas!$B$15*12)),(A487-1)+(-R486)/Q487,"")</f>
        <v/>
      </c>
    </row>
    <row r="488" customFormat="false" ht="15" hidden="false" customHeight="false" outlineLevel="0" collapsed="false">
      <c r="A488" s="10" t="n">
        <f aca="false">A487+1</f>
        <v>484</v>
      </c>
      <c r="B488" s="36" t="n">
        <f aca="false">IF(Premissas!$B$9&lt;=1,1,MIN(1,Premissas!$B$8/100+(1-Premissas!$B$8/100)*(A488-1)/(Premissas!$B$9-1)))</f>
        <v>1</v>
      </c>
      <c r="C488" s="9" t="n">
        <f aca="false">IF(A488&lt;=Resultados!$B$9,Resultados!$B$10,0)</f>
        <v>0</v>
      </c>
      <c r="D488" s="9" t="n">
        <f aca="false">Resultados!$E$37*$B488-Resultados!$F$37*$B488-Premissas!$B$24-Resultados!$E$37*$B488*(Premissas!$B$14/100)</f>
        <v>19027</v>
      </c>
      <c r="E488" s="9" t="n">
        <f aca="false">D488-$C488</f>
        <v>19027</v>
      </c>
      <c r="F488" s="9" t="n">
        <f aca="false">F487+E488</f>
        <v>8819464.9</v>
      </c>
      <c r="G488" s="37" t="str">
        <f aca="false">IF(AND(F487&lt;0,F488&gt;=0,A488&lt;=MAX(120,Premissas!$B$15*12)),(A488-1)+(-F487)/E488,"")</f>
        <v/>
      </c>
      <c r="H488" s="9" t="n">
        <f aca="false">Resultados!$E$38*$B488-Resultados!$F$38*$B488-Premissas!$B$24-Resultados!$E$38*$B488*(Premissas!$B$14/100)</f>
        <v>24432.4</v>
      </c>
      <c r="I488" s="9" t="n">
        <f aca="false">H488-$C488</f>
        <v>24432.4</v>
      </c>
      <c r="J488" s="9" t="n">
        <f aca="false">J487+I488</f>
        <v>11417840.6800001</v>
      </c>
      <c r="K488" s="37" t="str">
        <f aca="false">IF(AND(J487&lt;0,J488&gt;=0,A488&lt;=MAX(120,Premissas!$B$15*12)),(A488-1)+(-J487)/I488,"")</f>
        <v/>
      </c>
      <c r="L488" s="9" t="n">
        <f aca="false">Resultados!$E$39*$B488-Resultados!$F$39*$B488-Premissas!$B$24-Resultados!$E$39*$B488*(Premissas!$B$14/100)</f>
        <v>29837.8</v>
      </c>
      <c r="M488" s="9" t="n">
        <f aca="false">L488-$C488</f>
        <v>29837.8</v>
      </c>
      <c r="N488" s="9" t="n">
        <f aca="false">N487+M488</f>
        <v>14016216.4600001</v>
      </c>
      <c r="O488" s="37" t="str">
        <f aca="false">IF(AND(N487&lt;0,N488&gt;=0,A488&lt;=MAX(120,Premissas!$B$15*12)),(A488-1)+(-N487)/M488,"")</f>
        <v/>
      </c>
      <c r="P488" s="9" t="n">
        <f aca="false">Resultados!$B$19*$B488-Resultados!$B$20*$B488-Premissas!$B$24-Resultados!$B$19*$B488*(Premissas!$B$14/100)</f>
        <v>24432.4</v>
      </c>
      <c r="Q488" s="9" t="n">
        <f aca="false">P488-$C488</f>
        <v>24432.4</v>
      </c>
      <c r="R488" s="9" t="n">
        <f aca="false">R487+Q488</f>
        <v>11417840.6800001</v>
      </c>
      <c r="S488" s="37" t="str">
        <f aca="false">IF(AND(R487&lt;0,R488&gt;=0,A488&lt;=MAX(120,Premissas!$B$15*12)),(A488-1)+(-R487)/Q488,"")</f>
        <v/>
      </c>
    </row>
    <row r="489" customFormat="false" ht="15" hidden="false" customHeight="false" outlineLevel="0" collapsed="false">
      <c r="A489" s="10" t="n">
        <f aca="false">A488+1</f>
        <v>485</v>
      </c>
      <c r="B489" s="36" t="n">
        <f aca="false">IF(Premissas!$B$9&lt;=1,1,MIN(1,Premissas!$B$8/100+(1-Premissas!$B$8/100)*(A489-1)/(Premissas!$B$9-1)))</f>
        <v>1</v>
      </c>
      <c r="C489" s="9" t="n">
        <f aca="false">IF(A489&lt;=Resultados!$B$9,Resultados!$B$10,0)</f>
        <v>0</v>
      </c>
      <c r="D489" s="9" t="n">
        <f aca="false">Resultados!$E$37*$B489-Resultados!$F$37*$B489-Premissas!$B$24-Resultados!$E$37*$B489*(Premissas!$B$14/100)</f>
        <v>19027</v>
      </c>
      <c r="E489" s="9" t="n">
        <f aca="false">D489-$C489</f>
        <v>19027</v>
      </c>
      <c r="F489" s="9" t="n">
        <f aca="false">F488+E489</f>
        <v>8838491.9</v>
      </c>
      <c r="G489" s="37" t="str">
        <f aca="false">IF(AND(F488&lt;0,F489&gt;=0,A489&lt;=MAX(120,Premissas!$B$15*12)),(A489-1)+(-F488)/E489,"")</f>
        <v/>
      </c>
      <c r="H489" s="9" t="n">
        <f aca="false">Resultados!$E$38*$B489-Resultados!$F$38*$B489-Premissas!$B$24-Resultados!$E$38*$B489*(Premissas!$B$14/100)</f>
        <v>24432.4</v>
      </c>
      <c r="I489" s="9" t="n">
        <f aca="false">H489-$C489</f>
        <v>24432.4</v>
      </c>
      <c r="J489" s="9" t="n">
        <f aca="false">J488+I489</f>
        <v>11442273.0800001</v>
      </c>
      <c r="K489" s="37" t="str">
        <f aca="false">IF(AND(J488&lt;0,J489&gt;=0,A489&lt;=MAX(120,Premissas!$B$15*12)),(A489-1)+(-J488)/I489,"")</f>
        <v/>
      </c>
      <c r="L489" s="9" t="n">
        <f aca="false">Resultados!$E$39*$B489-Resultados!$F$39*$B489-Premissas!$B$24-Resultados!$E$39*$B489*(Premissas!$B$14/100)</f>
        <v>29837.8</v>
      </c>
      <c r="M489" s="9" t="n">
        <f aca="false">L489-$C489</f>
        <v>29837.8</v>
      </c>
      <c r="N489" s="9" t="n">
        <f aca="false">N488+M489</f>
        <v>14046054.2600001</v>
      </c>
      <c r="O489" s="37" t="str">
        <f aca="false">IF(AND(N488&lt;0,N489&gt;=0,A489&lt;=MAX(120,Premissas!$B$15*12)),(A489-1)+(-N488)/M489,"")</f>
        <v/>
      </c>
      <c r="P489" s="9" t="n">
        <f aca="false">Resultados!$B$19*$B489-Resultados!$B$20*$B489-Premissas!$B$24-Resultados!$B$19*$B489*(Premissas!$B$14/100)</f>
        <v>24432.4</v>
      </c>
      <c r="Q489" s="9" t="n">
        <f aca="false">P489-$C489</f>
        <v>24432.4</v>
      </c>
      <c r="R489" s="9" t="n">
        <f aca="false">R488+Q489</f>
        <v>11442273.0800001</v>
      </c>
      <c r="S489" s="37" t="str">
        <f aca="false">IF(AND(R488&lt;0,R489&gt;=0,A489&lt;=MAX(120,Premissas!$B$15*12)),(A489-1)+(-R488)/Q489,"")</f>
        <v/>
      </c>
    </row>
    <row r="490" customFormat="false" ht="15" hidden="false" customHeight="false" outlineLevel="0" collapsed="false">
      <c r="A490" s="10" t="n">
        <f aca="false">A489+1</f>
        <v>486</v>
      </c>
      <c r="B490" s="36" t="n">
        <f aca="false">IF(Premissas!$B$9&lt;=1,1,MIN(1,Premissas!$B$8/100+(1-Premissas!$B$8/100)*(A490-1)/(Premissas!$B$9-1)))</f>
        <v>1</v>
      </c>
      <c r="C490" s="9" t="n">
        <f aca="false">IF(A490&lt;=Resultados!$B$9,Resultados!$B$10,0)</f>
        <v>0</v>
      </c>
      <c r="D490" s="9" t="n">
        <f aca="false">Resultados!$E$37*$B490-Resultados!$F$37*$B490-Premissas!$B$24-Resultados!$E$37*$B490*(Premissas!$B$14/100)</f>
        <v>19027</v>
      </c>
      <c r="E490" s="9" t="n">
        <f aca="false">D490-$C490</f>
        <v>19027</v>
      </c>
      <c r="F490" s="9" t="n">
        <f aca="false">F489+E490</f>
        <v>8857518.9</v>
      </c>
      <c r="G490" s="37" t="str">
        <f aca="false">IF(AND(F489&lt;0,F490&gt;=0,A490&lt;=MAX(120,Premissas!$B$15*12)),(A490-1)+(-F489)/E490,"")</f>
        <v/>
      </c>
      <c r="H490" s="9" t="n">
        <f aca="false">Resultados!$E$38*$B490-Resultados!$F$38*$B490-Premissas!$B$24-Resultados!$E$38*$B490*(Premissas!$B$14/100)</f>
        <v>24432.4</v>
      </c>
      <c r="I490" s="9" t="n">
        <f aca="false">H490-$C490</f>
        <v>24432.4</v>
      </c>
      <c r="J490" s="9" t="n">
        <f aca="false">J489+I490</f>
        <v>11466705.4800001</v>
      </c>
      <c r="K490" s="37" t="str">
        <f aca="false">IF(AND(J489&lt;0,J490&gt;=0,A490&lt;=MAX(120,Premissas!$B$15*12)),(A490-1)+(-J489)/I490,"")</f>
        <v/>
      </c>
      <c r="L490" s="9" t="n">
        <f aca="false">Resultados!$E$39*$B490-Resultados!$F$39*$B490-Premissas!$B$24-Resultados!$E$39*$B490*(Premissas!$B$14/100)</f>
        <v>29837.8</v>
      </c>
      <c r="M490" s="9" t="n">
        <f aca="false">L490-$C490</f>
        <v>29837.8</v>
      </c>
      <c r="N490" s="9" t="n">
        <f aca="false">N489+M490</f>
        <v>14075892.0600001</v>
      </c>
      <c r="O490" s="37" t="str">
        <f aca="false">IF(AND(N489&lt;0,N490&gt;=0,A490&lt;=MAX(120,Premissas!$B$15*12)),(A490-1)+(-N489)/M490,"")</f>
        <v/>
      </c>
      <c r="P490" s="9" t="n">
        <f aca="false">Resultados!$B$19*$B490-Resultados!$B$20*$B490-Premissas!$B$24-Resultados!$B$19*$B490*(Premissas!$B$14/100)</f>
        <v>24432.4</v>
      </c>
      <c r="Q490" s="9" t="n">
        <f aca="false">P490-$C490</f>
        <v>24432.4</v>
      </c>
      <c r="R490" s="9" t="n">
        <f aca="false">R489+Q490</f>
        <v>11466705.4800001</v>
      </c>
      <c r="S490" s="37" t="str">
        <f aca="false">IF(AND(R489&lt;0,R490&gt;=0,A490&lt;=MAX(120,Premissas!$B$15*12)),(A490-1)+(-R489)/Q490,"")</f>
        <v/>
      </c>
    </row>
    <row r="491" customFormat="false" ht="15" hidden="false" customHeight="false" outlineLevel="0" collapsed="false">
      <c r="A491" s="10" t="n">
        <f aca="false">A490+1</f>
        <v>487</v>
      </c>
      <c r="B491" s="36" t="n">
        <f aca="false">IF(Premissas!$B$9&lt;=1,1,MIN(1,Premissas!$B$8/100+(1-Premissas!$B$8/100)*(A491-1)/(Premissas!$B$9-1)))</f>
        <v>1</v>
      </c>
      <c r="C491" s="9" t="n">
        <f aca="false">IF(A491&lt;=Resultados!$B$9,Resultados!$B$10,0)</f>
        <v>0</v>
      </c>
      <c r="D491" s="9" t="n">
        <f aca="false">Resultados!$E$37*$B491-Resultados!$F$37*$B491-Premissas!$B$24-Resultados!$E$37*$B491*(Premissas!$B$14/100)</f>
        <v>19027</v>
      </c>
      <c r="E491" s="9" t="n">
        <f aca="false">D491-$C491</f>
        <v>19027</v>
      </c>
      <c r="F491" s="9" t="n">
        <f aca="false">F490+E491</f>
        <v>8876545.9</v>
      </c>
      <c r="G491" s="37" t="str">
        <f aca="false">IF(AND(F490&lt;0,F491&gt;=0,A491&lt;=MAX(120,Premissas!$B$15*12)),(A491-1)+(-F490)/E491,"")</f>
        <v/>
      </c>
      <c r="H491" s="9" t="n">
        <f aca="false">Resultados!$E$38*$B491-Resultados!$F$38*$B491-Premissas!$B$24-Resultados!$E$38*$B491*(Premissas!$B$14/100)</f>
        <v>24432.4</v>
      </c>
      <c r="I491" s="9" t="n">
        <f aca="false">H491-$C491</f>
        <v>24432.4</v>
      </c>
      <c r="J491" s="9" t="n">
        <f aca="false">J490+I491</f>
        <v>11491137.8800001</v>
      </c>
      <c r="K491" s="37" t="str">
        <f aca="false">IF(AND(J490&lt;0,J491&gt;=0,A491&lt;=MAX(120,Premissas!$B$15*12)),(A491-1)+(-J490)/I491,"")</f>
        <v/>
      </c>
      <c r="L491" s="9" t="n">
        <f aca="false">Resultados!$E$39*$B491-Resultados!$F$39*$B491-Premissas!$B$24-Resultados!$E$39*$B491*(Premissas!$B$14/100)</f>
        <v>29837.8</v>
      </c>
      <c r="M491" s="9" t="n">
        <f aca="false">L491-$C491</f>
        <v>29837.8</v>
      </c>
      <c r="N491" s="9" t="n">
        <f aca="false">N490+M491</f>
        <v>14105729.8600001</v>
      </c>
      <c r="O491" s="37" t="str">
        <f aca="false">IF(AND(N490&lt;0,N491&gt;=0,A491&lt;=MAX(120,Premissas!$B$15*12)),(A491-1)+(-N490)/M491,"")</f>
        <v/>
      </c>
      <c r="P491" s="9" t="n">
        <f aca="false">Resultados!$B$19*$B491-Resultados!$B$20*$B491-Premissas!$B$24-Resultados!$B$19*$B491*(Premissas!$B$14/100)</f>
        <v>24432.4</v>
      </c>
      <c r="Q491" s="9" t="n">
        <f aca="false">P491-$C491</f>
        <v>24432.4</v>
      </c>
      <c r="R491" s="9" t="n">
        <f aca="false">R490+Q491</f>
        <v>11491137.8800001</v>
      </c>
      <c r="S491" s="37" t="str">
        <f aca="false">IF(AND(R490&lt;0,R491&gt;=0,A491&lt;=MAX(120,Premissas!$B$15*12)),(A491-1)+(-R490)/Q491,"")</f>
        <v/>
      </c>
    </row>
    <row r="492" customFormat="false" ht="15" hidden="false" customHeight="false" outlineLevel="0" collapsed="false">
      <c r="A492" s="10" t="n">
        <f aca="false">A491+1</f>
        <v>488</v>
      </c>
      <c r="B492" s="36" t="n">
        <f aca="false">IF(Premissas!$B$9&lt;=1,1,MIN(1,Premissas!$B$8/100+(1-Premissas!$B$8/100)*(A492-1)/(Premissas!$B$9-1)))</f>
        <v>1</v>
      </c>
      <c r="C492" s="9" t="n">
        <f aca="false">IF(A492&lt;=Resultados!$B$9,Resultados!$B$10,0)</f>
        <v>0</v>
      </c>
      <c r="D492" s="9" t="n">
        <f aca="false">Resultados!$E$37*$B492-Resultados!$F$37*$B492-Premissas!$B$24-Resultados!$E$37*$B492*(Premissas!$B$14/100)</f>
        <v>19027</v>
      </c>
      <c r="E492" s="9" t="n">
        <f aca="false">D492-$C492</f>
        <v>19027</v>
      </c>
      <c r="F492" s="9" t="n">
        <f aca="false">F491+E492</f>
        <v>8895572.9</v>
      </c>
      <c r="G492" s="37" t="str">
        <f aca="false">IF(AND(F491&lt;0,F492&gt;=0,A492&lt;=MAX(120,Premissas!$B$15*12)),(A492-1)+(-F491)/E492,"")</f>
        <v/>
      </c>
      <c r="H492" s="9" t="n">
        <f aca="false">Resultados!$E$38*$B492-Resultados!$F$38*$B492-Premissas!$B$24-Resultados!$E$38*$B492*(Premissas!$B$14/100)</f>
        <v>24432.4</v>
      </c>
      <c r="I492" s="9" t="n">
        <f aca="false">H492-$C492</f>
        <v>24432.4</v>
      </c>
      <c r="J492" s="9" t="n">
        <f aca="false">J491+I492</f>
        <v>11515570.2800001</v>
      </c>
      <c r="K492" s="37" t="str">
        <f aca="false">IF(AND(J491&lt;0,J492&gt;=0,A492&lt;=MAX(120,Premissas!$B$15*12)),(A492-1)+(-J491)/I492,"")</f>
        <v/>
      </c>
      <c r="L492" s="9" t="n">
        <f aca="false">Resultados!$E$39*$B492-Resultados!$F$39*$B492-Premissas!$B$24-Resultados!$E$39*$B492*(Premissas!$B$14/100)</f>
        <v>29837.8</v>
      </c>
      <c r="M492" s="9" t="n">
        <f aca="false">L492-$C492</f>
        <v>29837.8</v>
      </c>
      <c r="N492" s="9" t="n">
        <f aca="false">N491+M492</f>
        <v>14135567.6600001</v>
      </c>
      <c r="O492" s="37" t="str">
        <f aca="false">IF(AND(N491&lt;0,N492&gt;=0,A492&lt;=MAX(120,Premissas!$B$15*12)),(A492-1)+(-N491)/M492,"")</f>
        <v/>
      </c>
      <c r="P492" s="9" t="n">
        <f aca="false">Resultados!$B$19*$B492-Resultados!$B$20*$B492-Premissas!$B$24-Resultados!$B$19*$B492*(Premissas!$B$14/100)</f>
        <v>24432.4</v>
      </c>
      <c r="Q492" s="9" t="n">
        <f aca="false">P492-$C492</f>
        <v>24432.4</v>
      </c>
      <c r="R492" s="9" t="n">
        <f aca="false">R491+Q492</f>
        <v>11515570.2800001</v>
      </c>
      <c r="S492" s="37" t="str">
        <f aca="false">IF(AND(R491&lt;0,R492&gt;=0,A492&lt;=MAX(120,Premissas!$B$15*12)),(A492-1)+(-R491)/Q492,"")</f>
        <v/>
      </c>
    </row>
    <row r="493" customFormat="false" ht="15" hidden="false" customHeight="false" outlineLevel="0" collapsed="false">
      <c r="A493" s="10" t="n">
        <f aca="false">A492+1</f>
        <v>489</v>
      </c>
      <c r="B493" s="36" t="n">
        <f aca="false">IF(Premissas!$B$9&lt;=1,1,MIN(1,Premissas!$B$8/100+(1-Premissas!$B$8/100)*(A493-1)/(Premissas!$B$9-1)))</f>
        <v>1</v>
      </c>
      <c r="C493" s="9" t="n">
        <f aca="false">IF(A493&lt;=Resultados!$B$9,Resultados!$B$10,0)</f>
        <v>0</v>
      </c>
      <c r="D493" s="9" t="n">
        <f aca="false">Resultados!$E$37*$B493-Resultados!$F$37*$B493-Premissas!$B$24-Resultados!$E$37*$B493*(Premissas!$B$14/100)</f>
        <v>19027</v>
      </c>
      <c r="E493" s="9" t="n">
        <f aca="false">D493-$C493</f>
        <v>19027</v>
      </c>
      <c r="F493" s="9" t="n">
        <f aca="false">F492+E493</f>
        <v>8914599.9</v>
      </c>
      <c r="G493" s="37" t="str">
        <f aca="false">IF(AND(F492&lt;0,F493&gt;=0,A493&lt;=MAX(120,Premissas!$B$15*12)),(A493-1)+(-F492)/E493,"")</f>
        <v/>
      </c>
      <c r="H493" s="9" t="n">
        <f aca="false">Resultados!$E$38*$B493-Resultados!$F$38*$B493-Premissas!$B$24-Resultados!$E$38*$B493*(Premissas!$B$14/100)</f>
        <v>24432.4</v>
      </c>
      <c r="I493" s="9" t="n">
        <f aca="false">H493-$C493</f>
        <v>24432.4</v>
      </c>
      <c r="J493" s="9" t="n">
        <f aca="false">J492+I493</f>
        <v>11540002.6800001</v>
      </c>
      <c r="K493" s="37" t="str">
        <f aca="false">IF(AND(J492&lt;0,J493&gt;=0,A493&lt;=MAX(120,Premissas!$B$15*12)),(A493-1)+(-J492)/I493,"")</f>
        <v/>
      </c>
      <c r="L493" s="9" t="n">
        <f aca="false">Resultados!$E$39*$B493-Resultados!$F$39*$B493-Premissas!$B$24-Resultados!$E$39*$B493*(Premissas!$B$14/100)</f>
        <v>29837.8</v>
      </c>
      <c r="M493" s="9" t="n">
        <f aca="false">L493-$C493</f>
        <v>29837.8</v>
      </c>
      <c r="N493" s="9" t="n">
        <f aca="false">N492+M493</f>
        <v>14165405.4600001</v>
      </c>
      <c r="O493" s="37" t="str">
        <f aca="false">IF(AND(N492&lt;0,N493&gt;=0,A493&lt;=MAX(120,Premissas!$B$15*12)),(A493-1)+(-N492)/M493,"")</f>
        <v/>
      </c>
      <c r="P493" s="9" t="n">
        <f aca="false">Resultados!$B$19*$B493-Resultados!$B$20*$B493-Premissas!$B$24-Resultados!$B$19*$B493*(Premissas!$B$14/100)</f>
        <v>24432.4</v>
      </c>
      <c r="Q493" s="9" t="n">
        <f aca="false">P493-$C493</f>
        <v>24432.4</v>
      </c>
      <c r="R493" s="9" t="n">
        <f aca="false">R492+Q493</f>
        <v>11540002.6800001</v>
      </c>
      <c r="S493" s="37" t="str">
        <f aca="false">IF(AND(R492&lt;0,R493&gt;=0,A493&lt;=MAX(120,Premissas!$B$15*12)),(A493-1)+(-R492)/Q493,"")</f>
        <v/>
      </c>
    </row>
    <row r="494" customFormat="false" ht="15" hidden="false" customHeight="false" outlineLevel="0" collapsed="false">
      <c r="A494" s="10" t="n">
        <f aca="false">A493+1</f>
        <v>490</v>
      </c>
      <c r="B494" s="36" t="n">
        <f aca="false">IF(Premissas!$B$9&lt;=1,1,MIN(1,Premissas!$B$8/100+(1-Premissas!$B$8/100)*(A494-1)/(Premissas!$B$9-1)))</f>
        <v>1</v>
      </c>
      <c r="C494" s="9" t="n">
        <f aca="false">IF(A494&lt;=Resultados!$B$9,Resultados!$B$10,0)</f>
        <v>0</v>
      </c>
      <c r="D494" s="9" t="n">
        <f aca="false">Resultados!$E$37*$B494-Resultados!$F$37*$B494-Premissas!$B$24-Resultados!$E$37*$B494*(Premissas!$B$14/100)</f>
        <v>19027</v>
      </c>
      <c r="E494" s="9" t="n">
        <f aca="false">D494-$C494</f>
        <v>19027</v>
      </c>
      <c r="F494" s="9" t="n">
        <f aca="false">F493+E494</f>
        <v>8933626.9</v>
      </c>
      <c r="G494" s="37" t="str">
        <f aca="false">IF(AND(F493&lt;0,F494&gt;=0,A494&lt;=MAX(120,Premissas!$B$15*12)),(A494-1)+(-F493)/E494,"")</f>
        <v/>
      </c>
      <c r="H494" s="9" t="n">
        <f aca="false">Resultados!$E$38*$B494-Resultados!$F$38*$B494-Premissas!$B$24-Resultados!$E$38*$B494*(Premissas!$B$14/100)</f>
        <v>24432.4</v>
      </c>
      <c r="I494" s="9" t="n">
        <f aca="false">H494-$C494</f>
        <v>24432.4</v>
      </c>
      <c r="J494" s="9" t="n">
        <f aca="false">J493+I494</f>
        <v>11564435.0800001</v>
      </c>
      <c r="K494" s="37" t="str">
        <f aca="false">IF(AND(J493&lt;0,J494&gt;=0,A494&lt;=MAX(120,Premissas!$B$15*12)),(A494-1)+(-J493)/I494,"")</f>
        <v/>
      </c>
      <c r="L494" s="9" t="n">
        <f aca="false">Resultados!$E$39*$B494-Resultados!$F$39*$B494-Premissas!$B$24-Resultados!$E$39*$B494*(Premissas!$B$14/100)</f>
        <v>29837.8</v>
      </c>
      <c r="M494" s="9" t="n">
        <f aca="false">L494-$C494</f>
        <v>29837.8</v>
      </c>
      <c r="N494" s="9" t="n">
        <f aca="false">N493+M494</f>
        <v>14195243.2600001</v>
      </c>
      <c r="O494" s="37" t="str">
        <f aca="false">IF(AND(N493&lt;0,N494&gt;=0,A494&lt;=MAX(120,Premissas!$B$15*12)),(A494-1)+(-N493)/M494,"")</f>
        <v/>
      </c>
      <c r="P494" s="9" t="n">
        <f aca="false">Resultados!$B$19*$B494-Resultados!$B$20*$B494-Premissas!$B$24-Resultados!$B$19*$B494*(Premissas!$B$14/100)</f>
        <v>24432.4</v>
      </c>
      <c r="Q494" s="9" t="n">
        <f aca="false">P494-$C494</f>
        <v>24432.4</v>
      </c>
      <c r="R494" s="9" t="n">
        <f aca="false">R493+Q494</f>
        <v>11564435.0800001</v>
      </c>
      <c r="S494" s="37" t="str">
        <f aca="false">IF(AND(R493&lt;0,R494&gt;=0,A494&lt;=MAX(120,Premissas!$B$15*12)),(A494-1)+(-R493)/Q494,"")</f>
        <v/>
      </c>
    </row>
    <row r="495" customFormat="false" ht="15" hidden="false" customHeight="false" outlineLevel="0" collapsed="false">
      <c r="A495" s="10" t="n">
        <f aca="false">A494+1</f>
        <v>491</v>
      </c>
      <c r="B495" s="36" t="n">
        <f aca="false">IF(Premissas!$B$9&lt;=1,1,MIN(1,Premissas!$B$8/100+(1-Premissas!$B$8/100)*(A495-1)/(Premissas!$B$9-1)))</f>
        <v>1</v>
      </c>
      <c r="C495" s="9" t="n">
        <f aca="false">IF(A495&lt;=Resultados!$B$9,Resultados!$B$10,0)</f>
        <v>0</v>
      </c>
      <c r="D495" s="9" t="n">
        <f aca="false">Resultados!$E$37*$B495-Resultados!$F$37*$B495-Premissas!$B$24-Resultados!$E$37*$B495*(Premissas!$B$14/100)</f>
        <v>19027</v>
      </c>
      <c r="E495" s="9" t="n">
        <f aca="false">D495-$C495</f>
        <v>19027</v>
      </c>
      <c r="F495" s="9" t="n">
        <f aca="false">F494+E495</f>
        <v>8952653.9</v>
      </c>
      <c r="G495" s="37" t="str">
        <f aca="false">IF(AND(F494&lt;0,F495&gt;=0,A495&lt;=MAX(120,Premissas!$B$15*12)),(A495-1)+(-F494)/E495,"")</f>
        <v/>
      </c>
      <c r="H495" s="9" t="n">
        <f aca="false">Resultados!$E$38*$B495-Resultados!$F$38*$B495-Premissas!$B$24-Resultados!$E$38*$B495*(Premissas!$B$14/100)</f>
        <v>24432.4</v>
      </c>
      <c r="I495" s="9" t="n">
        <f aca="false">H495-$C495</f>
        <v>24432.4</v>
      </c>
      <c r="J495" s="9" t="n">
        <f aca="false">J494+I495</f>
        <v>11588867.4800001</v>
      </c>
      <c r="K495" s="37" t="str">
        <f aca="false">IF(AND(J494&lt;0,J495&gt;=0,A495&lt;=MAX(120,Premissas!$B$15*12)),(A495-1)+(-J494)/I495,"")</f>
        <v/>
      </c>
      <c r="L495" s="9" t="n">
        <f aca="false">Resultados!$E$39*$B495-Resultados!$F$39*$B495-Premissas!$B$24-Resultados!$E$39*$B495*(Premissas!$B$14/100)</f>
        <v>29837.8</v>
      </c>
      <c r="M495" s="9" t="n">
        <f aca="false">L495-$C495</f>
        <v>29837.8</v>
      </c>
      <c r="N495" s="9" t="n">
        <f aca="false">N494+M495</f>
        <v>14225081.0600001</v>
      </c>
      <c r="O495" s="37" t="str">
        <f aca="false">IF(AND(N494&lt;0,N495&gt;=0,A495&lt;=MAX(120,Premissas!$B$15*12)),(A495-1)+(-N494)/M495,"")</f>
        <v/>
      </c>
      <c r="P495" s="9" t="n">
        <f aca="false">Resultados!$B$19*$B495-Resultados!$B$20*$B495-Premissas!$B$24-Resultados!$B$19*$B495*(Premissas!$B$14/100)</f>
        <v>24432.4</v>
      </c>
      <c r="Q495" s="9" t="n">
        <f aca="false">P495-$C495</f>
        <v>24432.4</v>
      </c>
      <c r="R495" s="9" t="n">
        <f aca="false">R494+Q495</f>
        <v>11588867.4800001</v>
      </c>
      <c r="S495" s="37" t="str">
        <f aca="false">IF(AND(R494&lt;0,R495&gt;=0,A495&lt;=MAX(120,Premissas!$B$15*12)),(A495-1)+(-R494)/Q495,"")</f>
        <v/>
      </c>
    </row>
    <row r="496" customFormat="false" ht="15" hidden="false" customHeight="false" outlineLevel="0" collapsed="false">
      <c r="A496" s="10" t="n">
        <f aca="false">A495+1</f>
        <v>492</v>
      </c>
      <c r="B496" s="36" t="n">
        <f aca="false">IF(Premissas!$B$9&lt;=1,1,MIN(1,Premissas!$B$8/100+(1-Premissas!$B$8/100)*(A496-1)/(Premissas!$B$9-1)))</f>
        <v>1</v>
      </c>
      <c r="C496" s="9" t="n">
        <f aca="false">IF(A496&lt;=Resultados!$B$9,Resultados!$B$10,0)</f>
        <v>0</v>
      </c>
      <c r="D496" s="9" t="n">
        <f aca="false">Resultados!$E$37*$B496-Resultados!$F$37*$B496-Premissas!$B$24-Resultados!$E$37*$B496*(Premissas!$B$14/100)</f>
        <v>19027</v>
      </c>
      <c r="E496" s="9" t="n">
        <f aca="false">D496-$C496</f>
        <v>19027</v>
      </c>
      <c r="F496" s="9" t="n">
        <f aca="false">F495+E496</f>
        <v>8971680.9</v>
      </c>
      <c r="G496" s="37" t="str">
        <f aca="false">IF(AND(F495&lt;0,F496&gt;=0,A496&lt;=MAX(120,Premissas!$B$15*12)),(A496-1)+(-F495)/E496,"")</f>
        <v/>
      </c>
      <c r="H496" s="9" t="n">
        <f aca="false">Resultados!$E$38*$B496-Resultados!$F$38*$B496-Premissas!$B$24-Resultados!$E$38*$B496*(Premissas!$B$14/100)</f>
        <v>24432.4</v>
      </c>
      <c r="I496" s="9" t="n">
        <f aca="false">H496-$C496</f>
        <v>24432.4</v>
      </c>
      <c r="J496" s="9" t="n">
        <f aca="false">J495+I496</f>
        <v>11613299.8800001</v>
      </c>
      <c r="K496" s="37" t="str">
        <f aca="false">IF(AND(J495&lt;0,J496&gt;=0,A496&lt;=MAX(120,Premissas!$B$15*12)),(A496-1)+(-J495)/I496,"")</f>
        <v/>
      </c>
      <c r="L496" s="9" t="n">
        <f aca="false">Resultados!$E$39*$B496-Resultados!$F$39*$B496-Premissas!$B$24-Resultados!$E$39*$B496*(Premissas!$B$14/100)</f>
        <v>29837.8</v>
      </c>
      <c r="M496" s="9" t="n">
        <f aca="false">L496-$C496</f>
        <v>29837.8</v>
      </c>
      <c r="N496" s="9" t="n">
        <f aca="false">N495+M496</f>
        <v>14254918.8600001</v>
      </c>
      <c r="O496" s="37" t="str">
        <f aca="false">IF(AND(N495&lt;0,N496&gt;=0,A496&lt;=MAX(120,Premissas!$B$15*12)),(A496-1)+(-N495)/M496,"")</f>
        <v/>
      </c>
      <c r="P496" s="9" t="n">
        <f aca="false">Resultados!$B$19*$B496-Resultados!$B$20*$B496-Premissas!$B$24-Resultados!$B$19*$B496*(Premissas!$B$14/100)</f>
        <v>24432.4</v>
      </c>
      <c r="Q496" s="9" t="n">
        <f aca="false">P496-$C496</f>
        <v>24432.4</v>
      </c>
      <c r="R496" s="9" t="n">
        <f aca="false">R495+Q496</f>
        <v>11613299.8800001</v>
      </c>
      <c r="S496" s="37" t="str">
        <f aca="false">IF(AND(R495&lt;0,R496&gt;=0,A496&lt;=MAX(120,Premissas!$B$15*12)),(A496-1)+(-R495)/Q496,"")</f>
        <v/>
      </c>
    </row>
    <row r="497" customFormat="false" ht="15" hidden="false" customHeight="false" outlineLevel="0" collapsed="false">
      <c r="A497" s="10" t="n">
        <f aca="false">A496+1</f>
        <v>493</v>
      </c>
      <c r="B497" s="36" t="n">
        <f aca="false">IF(Premissas!$B$9&lt;=1,1,MIN(1,Premissas!$B$8/100+(1-Premissas!$B$8/100)*(A497-1)/(Premissas!$B$9-1)))</f>
        <v>1</v>
      </c>
      <c r="C497" s="9" t="n">
        <f aca="false">IF(A497&lt;=Resultados!$B$9,Resultados!$B$10,0)</f>
        <v>0</v>
      </c>
      <c r="D497" s="9" t="n">
        <f aca="false">Resultados!$E$37*$B497-Resultados!$F$37*$B497-Premissas!$B$24-Resultados!$E$37*$B497*(Premissas!$B$14/100)</f>
        <v>19027</v>
      </c>
      <c r="E497" s="9" t="n">
        <f aca="false">D497-$C497</f>
        <v>19027</v>
      </c>
      <c r="F497" s="9" t="n">
        <f aca="false">F496+E497</f>
        <v>8990707.9</v>
      </c>
      <c r="G497" s="37" t="str">
        <f aca="false">IF(AND(F496&lt;0,F497&gt;=0,A497&lt;=MAX(120,Premissas!$B$15*12)),(A497-1)+(-F496)/E497,"")</f>
        <v/>
      </c>
      <c r="H497" s="9" t="n">
        <f aca="false">Resultados!$E$38*$B497-Resultados!$F$38*$B497-Premissas!$B$24-Resultados!$E$38*$B497*(Premissas!$B$14/100)</f>
        <v>24432.4</v>
      </c>
      <c r="I497" s="9" t="n">
        <f aca="false">H497-$C497</f>
        <v>24432.4</v>
      </c>
      <c r="J497" s="9" t="n">
        <f aca="false">J496+I497</f>
        <v>11637732.2800001</v>
      </c>
      <c r="K497" s="37" t="str">
        <f aca="false">IF(AND(J496&lt;0,J497&gt;=0,A497&lt;=MAX(120,Premissas!$B$15*12)),(A497-1)+(-J496)/I497,"")</f>
        <v/>
      </c>
      <c r="L497" s="9" t="n">
        <f aca="false">Resultados!$E$39*$B497-Resultados!$F$39*$B497-Premissas!$B$24-Resultados!$E$39*$B497*(Premissas!$B$14/100)</f>
        <v>29837.8</v>
      </c>
      <c r="M497" s="9" t="n">
        <f aca="false">L497-$C497</f>
        <v>29837.8</v>
      </c>
      <c r="N497" s="9" t="n">
        <f aca="false">N496+M497</f>
        <v>14284756.6600001</v>
      </c>
      <c r="O497" s="37" t="str">
        <f aca="false">IF(AND(N496&lt;0,N497&gt;=0,A497&lt;=MAX(120,Premissas!$B$15*12)),(A497-1)+(-N496)/M497,"")</f>
        <v/>
      </c>
      <c r="P497" s="9" t="n">
        <f aca="false">Resultados!$B$19*$B497-Resultados!$B$20*$B497-Premissas!$B$24-Resultados!$B$19*$B497*(Premissas!$B$14/100)</f>
        <v>24432.4</v>
      </c>
      <c r="Q497" s="9" t="n">
        <f aca="false">P497-$C497</f>
        <v>24432.4</v>
      </c>
      <c r="R497" s="9" t="n">
        <f aca="false">R496+Q497</f>
        <v>11637732.2800001</v>
      </c>
      <c r="S497" s="37" t="str">
        <f aca="false">IF(AND(R496&lt;0,R497&gt;=0,A497&lt;=MAX(120,Premissas!$B$15*12)),(A497-1)+(-R496)/Q497,"")</f>
        <v/>
      </c>
    </row>
    <row r="498" customFormat="false" ht="15" hidden="false" customHeight="false" outlineLevel="0" collapsed="false">
      <c r="A498" s="10" t="n">
        <f aca="false">A497+1</f>
        <v>494</v>
      </c>
      <c r="B498" s="36" t="n">
        <f aca="false">IF(Premissas!$B$9&lt;=1,1,MIN(1,Premissas!$B$8/100+(1-Premissas!$B$8/100)*(A498-1)/(Premissas!$B$9-1)))</f>
        <v>1</v>
      </c>
      <c r="C498" s="9" t="n">
        <f aca="false">IF(A498&lt;=Resultados!$B$9,Resultados!$B$10,0)</f>
        <v>0</v>
      </c>
      <c r="D498" s="9" t="n">
        <f aca="false">Resultados!$E$37*$B498-Resultados!$F$37*$B498-Premissas!$B$24-Resultados!$E$37*$B498*(Premissas!$B$14/100)</f>
        <v>19027</v>
      </c>
      <c r="E498" s="9" t="n">
        <f aca="false">D498-$C498</f>
        <v>19027</v>
      </c>
      <c r="F498" s="9" t="n">
        <f aca="false">F497+E498</f>
        <v>9009734.9</v>
      </c>
      <c r="G498" s="37" t="str">
        <f aca="false">IF(AND(F497&lt;0,F498&gt;=0,A498&lt;=MAX(120,Premissas!$B$15*12)),(A498-1)+(-F497)/E498,"")</f>
        <v/>
      </c>
      <c r="H498" s="9" t="n">
        <f aca="false">Resultados!$E$38*$B498-Resultados!$F$38*$B498-Premissas!$B$24-Resultados!$E$38*$B498*(Premissas!$B$14/100)</f>
        <v>24432.4</v>
      </c>
      <c r="I498" s="9" t="n">
        <f aca="false">H498-$C498</f>
        <v>24432.4</v>
      </c>
      <c r="J498" s="9" t="n">
        <f aca="false">J497+I498</f>
        <v>11662164.6800001</v>
      </c>
      <c r="K498" s="37" t="str">
        <f aca="false">IF(AND(J497&lt;0,J498&gt;=0,A498&lt;=MAX(120,Premissas!$B$15*12)),(A498-1)+(-J497)/I498,"")</f>
        <v/>
      </c>
      <c r="L498" s="9" t="n">
        <f aca="false">Resultados!$E$39*$B498-Resultados!$F$39*$B498-Premissas!$B$24-Resultados!$E$39*$B498*(Premissas!$B$14/100)</f>
        <v>29837.8</v>
      </c>
      <c r="M498" s="9" t="n">
        <f aca="false">L498-$C498</f>
        <v>29837.8</v>
      </c>
      <c r="N498" s="9" t="n">
        <f aca="false">N497+M498</f>
        <v>14314594.4600001</v>
      </c>
      <c r="O498" s="37" t="str">
        <f aca="false">IF(AND(N497&lt;0,N498&gt;=0,A498&lt;=MAX(120,Premissas!$B$15*12)),(A498-1)+(-N497)/M498,"")</f>
        <v/>
      </c>
      <c r="P498" s="9" t="n">
        <f aca="false">Resultados!$B$19*$B498-Resultados!$B$20*$B498-Premissas!$B$24-Resultados!$B$19*$B498*(Premissas!$B$14/100)</f>
        <v>24432.4</v>
      </c>
      <c r="Q498" s="9" t="n">
        <f aca="false">P498-$C498</f>
        <v>24432.4</v>
      </c>
      <c r="R498" s="9" t="n">
        <f aca="false">R497+Q498</f>
        <v>11662164.6800001</v>
      </c>
      <c r="S498" s="37" t="str">
        <f aca="false">IF(AND(R497&lt;0,R498&gt;=0,A498&lt;=MAX(120,Premissas!$B$15*12)),(A498-1)+(-R497)/Q498,"")</f>
        <v/>
      </c>
    </row>
    <row r="499" customFormat="false" ht="15" hidden="false" customHeight="false" outlineLevel="0" collapsed="false">
      <c r="A499" s="10" t="n">
        <f aca="false">A498+1</f>
        <v>495</v>
      </c>
      <c r="B499" s="36" t="n">
        <f aca="false">IF(Premissas!$B$9&lt;=1,1,MIN(1,Premissas!$B$8/100+(1-Premissas!$B$8/100)*(A499-1)/(Premissas!$B$9-1)))</f>
        <v>1</v>
      </c>
      <c r="C499" s="9" t="n">
        <f aca="false">IF(A499&lt;=Resultados!$B$9,Resultados!$B$10,0)</f>
        <v>0</v>
      </c>
      <c r="D499" s="9" t="n">
        <f aca="false">Resultados!$E$37*$B499-Resultados!$F$37*$B499-Premissas!$B$24-Resultados!$E$37*$B499*(Premissas!$B$14/100)</f>
        <v>19027</v>
      </c>
      <c r="E499" s="9" t="n">
        <f aca="false">D499-$C499</f>
        <v>19027</v>
      </c>
      <c r="F499" s="9" t="n">
        <f aca="false">F498+E499</f>
        <v>9028761.9</v>
      </c>
      <c r="G499" s="37" t="str">
        <f aca="false">IF(AND(F498&lt;0,F499&gt;=0,A499&lt;=MAX(120,Premissas!$B$15*12)),(A499-1)+(-F498)/E499,"")</f>
        <v/>
      </c>
      <c r="H499" s="9" t="n">
        <f aca="false">Resultados!$E$38*$B499-Resultados!$F$38*$B499-Premissas!$B$24-Resultados!$E$38*$B499*(Premissas!$B$14/100)</f>
        <v>24432.4</v>
      </c>
      <c r="I499" s="9" t="n">
        <f aca="false">H499-$C499</f>
        <v>24432.4</v>
      </c>
      <c r="J499" s="9" t="n">
        <f aca="false">J498+I499</f>
        <v>11686597.0800001</v>
      </c>
      <c r="K499" s="37" t="str">
        <f aca="false">IF(AND(J498&lt;0,J499&gt;=0,A499&lt;=MAX(120,Premissas!$B$15*12)),(A499-1)+(-J498)/I499,"")</f>
        <v/>
      </c>
      <c r="L499" s="9" t="n">
        <f aca="false">Resultados!$E$39*$B499-Resultados!$F$39*$B499-Premissas!$B$24-Resultados!$E$39*$B499*(Premissas!$B$14/100)</f>
        <v>29837.8</v>
      </c>
      <c r="M499" s="9" t="n">
        <f aca="false">L499-$C499</f>
        <v>29837.8</v>
      </c>
      <c r="N499" s="9" t="n">
        <f aca="false">N498+M499</f>
        <v>14344432.2600001</v>
      </c>
      <c r="O499" s="37" t="str">
        <f aca="false">IF(AND(N498&lt;0,N499&gt;=0,A499&lt;=MAX(120,Premissas!$B$15*12)),(A499-1)+(-N498)/M499,"")</f>
        <v/>
      </c>
      <c r="P499" s="9" t="n">
        <f aca="false">Resultados!$B$19*$B499-Resultados!$B$20*$B499-Premissas!$B$24-Resultados!$B$19*$B499*(Premissas!$B$14/100)</f>
        <v>24432.4</v>
      </c>
      <c r="Q499" s="9" t="n">
        <f aca="false">P499-$C499</f>
        <v>24432.4</v>
      </c>
      <c r="R499" s="9" t="n">
        <f aca="false">R498+Q499</f>
        <v>11686597.0800001</v>
      </c>
      <c r="S499" s="37" t="str">
        <f aca="false">IF(AND(R498&lt;0,R499&gt;=0,A499&lt;=MAX(120,Premissas!$B$15*12)),(A499-1)+(-R498)/Q499,"")</f>
        <v/>
      </c>
    </row>
    <row r="500" customFormat="false" ht="15" hidden="false" customHeight="false" outlineLevel="0" collapsed="false">
      <c r="A500" s="10" t="n">
        <f aca="false">A499+1</f>
        <v>496</v>
      </c>
      <c r="B500" s="36" t="n">
        <f aca="false">IF(Premissas!$B$9&lt;=1,1,MIN(1,Premissas!$B$8/100+(1-Premissas!$B$8/100)*(A500-1)/(Premissas!$B$9-1)))</f>
        <v>1</v>
      </c>
      <c r="C500" s="9" t="n">
        <f aca="false">IF(A500&lt;=Resultados!$B$9,Resultados!$B$10,0)</f>
        <v>0</v>
      </c>
      <c r="D500" s="9" t="n">
        <f aca="false">Resultados!$E$37*$B500-Resultados!$F$37*$B500-Premissas!$B$24-Resultados!$E$37*$B500*(Premissas!$B$14/100)</f>
        <v>19027</v>
      </c>
      <c r="E500" s="9" t="n">
        <f aca="false">D500-$C500</f>
        <v>19027</v>
      </c>
      <c r="F500" s="9" t="n">
        <f aca="false">F499+E500</f>
        <v>9047788.9</v>
      </c>
      <c r="G500" s="37" t="str">
        <f aca="false">IF(AND(F499&lt;0,F500&gt;=0,A500&lt;=MAX(120,Premissas!$B$15*12)),(A500-1)+(-F499)/E500,"")</f>
        <v/>
      </c>
      <c r="H500" s="9" t="n">
        <f aca="false">Resultados!$E$38*$B500-Resultados!$F$38*$B500-Premissas!$B$24-Resultados!$E$38*$B500*(Premissas!$B$14/100)</f>
        <v>24432.4</v>
      </c>
      <c r="I500" s="9" t="n">
        <f aca="false">H500-$C500</f>
        <v>24432.4</v>
      </c>
      <c r="J500" s="9" t="n">
        <f aca="false">J499+I500</f>
        <v>11711029.4800001</v>
      </c>
      <c r="K500" s="37" t="str">
        <f aca="false">IF(AND(J499&lt;0,J500&gt;=0,A500&lt;=MAX(120,Premissas!$B$15*12)),(A500-1)+(-J499)/I500,"")</f>
        <v/>
      </c>
      <c r="L500" s="9" t="n">
        <f aca="false">Resultados!$E$39*$B500-Resultados!$F$39*$B500-Premissas!$B$24-Resultados!$E$39*$B500*(Premissas!$B$14/100)</f>
        <v>29837.8</v>
      </c>
      <c r="M500" s="9" t="n">
        <f aca="false">L500-$C500</f>
        <v>29837.8</v>
      </c>
      <c r="N500" s="9" t="n">
        <f aca="false">N499+M500</f>
        <v>14374270.0600001</v>
      </c>
      <c r="O500" s="37" t="str">
        <f aca="false">IF(AND(N499&lt;0,N500&gt;=0,A500&lt;=MAX(120,Premissas!$B$15*12)),(A500-1)+(-N499)/M500,"")</f>
        <v/>
      </c>
      <c r="P500" s="9" t="n">
        <f aca="false">Resultados!$B$19*$B500-Resultados!$B$20*$B500-Premissas!$B$24-Resultados!$B$19*$B500*(Premissas!$B$14/100)</f>
        <v>24432.4</v>
      </c>
      <c r="Q500" s="9" t="n">
        <f aca="false">P500-$C500</f>
        <v>24432.4</v>
      </c>
      <c r="R500" s="9" t="n">
        <f aca="false">R499+Q500</f>
        <v>11711029.4800001</v>
      </c>
      <c r="S500" s="37" t="str">
        <f aca="false">IF(AND(R499&lt;0,R500&gt;=0,A500&lt;=MAX(120,Premissas!$B$15*12)),(A500-1)+(-R499)/Q500,"")</f>
        <v/>
      </c>
    </row>
    <row r="501" customFormat="false" ht="15" hidden="false" customHeight="false" outlineLevel="0" collapsed="false">
      <c r="A501" s="10" t="n">
        <f aca="false">A500+1</f>
        <v>497</v>
      </c>
      <c r="B501" s="36" t="n">
        <f aca="false">IF(Premissas!$B$9&lt;=1,1,MIN(1,Premissas!$B$8/100+(1-Premissas!$B$8/100)*(A501-1)/(Premissas!$B$9-1)))</f>
        <v>1</v>
      </c>
      <c r="C501" s="9" t="n">
        <f aca="false">IF(A501&lt;=Resultados!$B$9,Resultados!$B$10,0)</f>
        <v>0</v>
      </c>
      <c r="D501" s="9" t="n">
        <f aca="false">Resultados!$E$37*$B501-Resultados!$F$37*$B501-Premissas!$B$24-Resultados!$E$37*$B501*(Premissas!$B$14/100)</f>
        <v>19027</v>
      </c>
      <c r="E501" s="9" t="n">
        <f aca="false">D501-$C501</f>
        <v>19027</v>
      </c>
      <c r="F501" s="9" t="n">
        <f aca="false">F500+E501</f>
        <v>9066815.9</v>
      </c>
      <c r="G501" s="37" t="str">
        <f aca="false">IF(AND(F500&lt;0,F501&gt;=0,A501&lt;=MAX(120,Premissas!$B$15*12)),(A501-1)+(-F500)/E501,"")</f>
        <v/>
      </c>
      <c r="H501" s="9" t="n">
        <f aca="false">Resultados!$E$38*$B501-Resultados!$F$38*$B501-Premissas!$B$24-Resultados!$E$38*$B501*(Premissas!$B$14/100)</f>
        <v>24432.4</v>
      </c>
      <c r="I501" s="9" t="n">
        <f aca="false">H501-$C501</f>
        <v>24432.4</v>
      </c>
      <c r="J501" s="9" t="n">
        <f aca="false">J500+I501</f>
        <v>11735461.8800001</v>
      </c>
      <c r="K501" s="37" t="str">
        <f aca="false">IF(AND(J500&lt;0,J501&gt;=0,A501&lt;=MAX(120,Premissas!$B$15*12)),(A501-1)+(-J500)/I501,"")</f>
        <v/>
      </c>
      <c r="L501" s="9" t="n">
        <f aca="false">Resultados!$E$39*$B501-Resultados!$F$39*$B501-Premissas!$B$24-Resultados!$E$39*$B501*(Premissas!$B$14/100)</f>
        <v>29837.8</v>
      </c>
      <c r="M501" s="9" t="n">
        <f aca="false">L501-$C501</f>
        <v>29837.8</v>
      </c>
      <c r="N501" s="9" t="n">
        <f aca="false">N500+M501</f>
        <v>14404107.8600001</v>
      </c>
      <c r="O501" s="37" t="str">
        <f aca="false">IF(AND(N500&lt;0,N501&gt;=0,A501&lt;=MAX(120,Premissas!$B$15*12)),(A501-1)+(-N500)/M501,"")</f>
        <v/>
      </c>
      <c r="P501" s="9" t="n">
        <f aca="false">Resultados!$B$19*$B501-Resultados!$B$20*$B501-Premissas!$B$24-Resultados!$B$19*$B501*(Premissas!$B$14/100)</f>
        <v>24432.4</v>
      </c>
      <c r="Q501" s="9" t="n">
        <f aca="false">P501-$C501</f>
        <v>24432.4</v>
      </c>
      <c r="R501" s="9" t="n">
        <f aca="false">R500+Q501</f>
        <v>11735461.8800001</v>
      </c>
      <c r="S501" s="37" t="str">
        <f aca="false">IF(AND(R500&lt;0,R501&gt;=0,A501&lt;=MAX(120,Premissas!$B$15*12)),(A501-1)+(-R500)/Q501,"")</f>
        <v/>
      </c>
    </row>
    <row r="502" customFormat="false" ht="15" hidden="false" customHeight="false" outlineLevel="0" collapsed="false">
      <c r="A502" s="10" t="n">
        <f aca="false">A501+1</f>
        <v>498</v>
      </c>
      <c r="B502" s="36" t="n">
        <f aca="false">IF(Premissas!$B$9&lt;=1,1,MIN(1,Premissas!$B$8/100+(1-Premissas!$B$8/100)*(A502-1)/(Premissas!$B$9-1)))</f>
        <v>1</v>
      </c>
      <c r="C502" s="9" t="n">
        <f aca="false">IF(A502&lt;=Resultados!$B$9,Resultados!$B$10,0)</f>
        <v>0</v>
      </c>
      <c r="D502" s="9" t="n">
        <f aca="false">Resultados!$E$37*$B502-Resultados!$F$37*$B502-Premissas!$B$24-Resultados!$E$37*$B502*(Premissas!$B$14/100)</f>
        <v>19027</v>
      </c>
      <c r="E502" s="9" t="n">
        <f aca="false">D502-$C502</f>
        <v>19027</v>
      </c>
      <c r="F502" s="9" t="n">
        <f aca="false">F501+E502</f>
        <v>9085842.9</v>
      </c>
      <c r="G502" s="37" t="str">
        <f aca="false">IF(AND(F501&lt;0,F502&gt;=0,A502&lt;=MAX(120,Premissas!$B$15*12)),(A502-1)+(-F501)/E502,"")</f>
        <v/>
      </c>
      <c r="H502" s="9" t="n">
        <f aca="false">Resultados!$E$38*$B502-Resultados!$F$38*$B502-Premissas!$B$24-Resultados!$E$38*$B502*(Premissas!$B$14/100)</f>
        <v>24432.4</v>
      </c>
      <c r="I502" s="9" t="n">
        <f aca="false">H502-$C502</f>
        <v>24432.4</v>
      </c>
      <c r="J502" s="9" t="n">
        <f aca="false">J501+I502</f>
        <v>11759894.2800001</v>
      </c>
      <c r="K502" s="37" t="str">
        <f aca="false">IF(AND(J501&lt;0,J502&gt;=0,A502&lt;=MAX(120,Premissas!$B$15*12)),(A502-1)+(-J501)/I502,"")</f>
        <v/>
      </c>
      <c r="L502" s="9" t="n">
        <f aca="false">Resultados!$E$39*$B502-Resultados!$F$39*$B502-Premissas!$B$24-Resultados!$E$39*$B502*(Premissas!$B$14/100)</f>
        <v>29837.8</v>
      </c>
      <c r="M502" s="9" t="n">
        <f aca="false">L502-$C502</f>
        <v>29837.8</v>
      </c>
      <c r="N502" s="9" t="n">
        <f aca="false">N501+M502</f>
        <v>14433945.6600001</v>
      </c>
      <c r="O502" s="37" t="str">
        <f aca="false">IF(AND(N501&lt;0,N502&gt;=0,A502&lt;=MAX(120,Premissas!$B$15*12)),(A502-1)+(-N501)/M502,"")</f>
        <v/>
      </c>
      <c r="P502" s="9" t="n">
        <f aca="false">Resultados!$B$19*$B502-Resultados!$B$20*$B502-Premissas!$B$24-Resultados!$B$19*$B502*(Premissas!$B$14/100)</f>
        <v>24432.4</v>
      </c>
      <c r="Q502" s="9" t="n">
        <f aca="false">P502-$C502</f>
        <v>24432.4</v>
      </c>
      <c r="R502" s="9" t="n">
        <f aca="false">R501+Q502</f>
        <v>11759894.2800001</v>
      </c>
      <c r="S502" s="37" t="str">
        <f aca="false">IF(AND(R501&lt;0,R502&gt;=0,A502&lt;=MAX(120,Premissas!$B$15*12)),(A502-1)+(-R501)/Q502,"")</f>
        <v/>
      </c>
    </row>
    <row r="503" customFormat="false" ht="15" hidden="false" customHeight="false" outlineLevel="0" collapsed="false">
      <c r="A503" s="10" t="n">
        <f aca="false">A502+1</f>
        <v>499</v>
      </c>
      <c r="B503" s="36" t="n">
        <f aca="false">IF(Premissas!$B$9&lt;=1,1,MIN(1,Premissas!$B$8/100+(1-Premissas!$B$8/100)*(A503-1)/(Premissas!$B$9-1)))</f>
        <v>1</v>
      </c>
      <c r="C503" s="9" t="n">
        <f aca="false">IF(A503&lt;=Resultados!$B$9,Resultados!$B$10,0)</f>
        <v>0</v>
      </c>
      <c r="D503" s="9" t="n">
        <f aca="false">Resultados!$E$37*$B503-Resultados!$F$37*$B503-Premissas!$B$24-Resultados!$E$37*$B503*(Premissas!$B$14/100)</f>
        <v>19027</v>
      </c>
      <c r="E503" s="9" t="n">
        <f aca="false">D503-$C503</f>
        <v>19027</v>
      </c>
      <c r="F503" s="9" t="n">
        <f aca="false">F502+E503</f>
        <v>9104869.9</v>
      </c>
      <c r="G503" s="37" t="str">
        <f aca="false">IF(AND(F502&lt;0,F503&gt;=0,A503&lt;=MAX(120,Premissas!$B$15*12)),(A503-1)+(-F502)/E503,"")</f>
        <v/>
      </c>
      <c r="H503" s="9" t="n">
        <f aca="false">Resultados!$E$38*$B503-Resultados!$F$38*$B503-Premissas!$B$24-Resultados!$E$38*$B503*(Premissas!$B$14/100)</f>
        <v>24432.4</v>
      </c>
      <c r="I503" s="9" t="n">
        <f aca="false">H503-$C503</f>
        <v>24432.4</v>
      </c>
      <c r="J503" s="9" t="n">
        <f aca="false">J502+I503</f>
        <v>11784326.6800001</v>
      </c>
      <c r="K503" s="37" t="str">
        <f aca="false">IF(AND(J502&lt;0,J503&gt;=0,A503&lt;=MAX(120,Premissas!$B$15*12)),(A503-1)+(-J502)/I503,"")</f>
        <v/>
      </c>
      <c r="L503" s="9" t="n">
        <f aca="false">Resultados!$E$39*$B503-Resultados!$F$39*$B503-Premissas!$B$24-Resultados!$E$39*$B503*(Premissas!$B$14/100)</f>
        <v>29837.8</v>
      </c>
      <c r="M503" s="9" t="n">
        <f aca="false">L503-$C503</f>
        <v>29837.8</v>
      </c>
      <c r="N503" s="9" t="n">
        <f aca="false">N502+M503</f>
        <v>14463783.4600001</v>
      </c>
      <c r="O503" s="37" t="str">
        <f aca="false">IF(AND(N502&lt;0,N503&gt;=0,A503&lt;=MAX(120,Premissas!$B$15*12)),(A503-1)+(-N502)/M503,"")</f>
        <v/>
      </c>
      <c r="P503" s="9" t="n">
        <f aca="false">Resultados!$B$19*$B503-Resultados!$B$20*$B503-Premissas!$B$24-Resultados!$B$19*$B503*(Premissas!$B$14/100)</f>
        <v>24432.4</v>
      </c>
      <c r="Q503" s="9" t="n">
        <f aca="false">P503-$C503</f>
        <v>24432.4</v>
      </c>
      <c r="R503" s="9" t="n">
        <f aca="false">R502+Q503</f>
        <v>11784326.6800001</v>
      </c>
      <c r="S503" s="37" t="str">
        <f aca="false">IF(AND(R502&lt;0,R503&gt;=0,A503&lt;=MAX(120,Premissas!$B$15*12)),(A503-1)+(-R502)/Q503,"")</f>
        <v/>
      </c>
    </row>
    <row r="504" customFormat="false" ht="15" hidden="false" customHeight="false" outlineLevel="0" collapsed="false">
      <c r="A504" s="10" t="n">
        <f aca="false">A503+1</f>
        <v>500</v>
      </c>
      <c r="B504" s="36" t="n">
        <f aca="false">IF(Premissas!$B$9&lt;=1,1,MIN(1,Premissas!$B$8/100+(1-Premissas!$B$8/100)*(A504-1)/(Premissas!$B$9-1)))</f>
        <v>1</v>
      </c>
      <c r="C504" s="9" t="n">
        <f aca="false">IF(A504&lt;=Resultados!$B$9,Resultados!$B$10,0)</f>
        <v>0</v>
      </c>
      <c r="D504" s="9" t="n">
        <f aca="false">Resultados!$E$37*$B504-Resultados!$F$37*$B504-Premissas!$B$24-Resultados!$E$37*$B504*(Premissas!$B$14/100)</f>
        <v>19027</v>
      </c>
      <c r="E504" s="9" t="n">
        <f aca="false">D504-$C504</f>
        <v>19027</v>
      </c>
      <c r="F504" s="9" t="n">
        <f aca="false">F503+E504</f>
        <v>9123896.9</v>
      </c>
      <c r="G504" s="37" t="str">
        <f aca="false">IF(AND(F503&lt;0,F504&gt;=0,A504&lt;=MAX(120,Premissas!$B$15*12)),(A504-1)+(-F503)/E504,"")</f>
        <v/>
      </c>
      <c r="H504" s="9" t="n">
        <f aca="false">Resultados!$E$38*$B504-Resultados!$F$38*$B504-Premissas!$B$24-Resultados!$E$38*$B504*(Premissas!$B$14/100)</f>
        <v>24432.4</v>
      </c>
      <c r="I504" s="9" t="n">
        <f aca="false">H504-$C504</f>
        <v>24432.4</v>
      </c>
      <c r="J504" s="9" t="n">
        <f aca="false">J503+I504</f>
        <v>11808759.0800001</v>
      </c>
      <c r="K504" s="37" t="str">
        <f aca="false">IF(AND(J503&lt;0,J504&gt;=0,A504&lt;=MAX(120,Premissas!$B$15*12)),(A504-1)+(-J503)/I504,"")</f>
        <v/>
      </c>
      <c r="L504" s="9" t="n">
        <f aca="false">Resultados!$E$39*$B504-Resultados!$F$39*$B504-Premissas!$B$24-Resultados!$E$39*$B504*(Premissas!$B$14/100)</f>
        <v>29837.8</v>
      </c>
      <c r="M504" s="9" t="n">
        <f aca="false">L504-$C504</f>
        <v>29837.8</v>
      </c>
      <c r="N504" s="9" t="n">
        <f aca="false">N503+M504</f>
        <v>14493621.2600001</v>
      </c>
      <c r="O504" s="37" t="str">
        <f aca="false">IF(AND(N503&lt;0,N504&gt;=0,A504&lt;=MAX(120,Premissas!$B$15*12)),(A504-1)+(-N503)/M504,"")</f>
        <v/>
      </c>
      <c r="P504" s="9" t="n">
        <f aca="false">Resultados!$B$19*$B504-Resultados!$B$20*$B504-Premissas!$B$24-Resultados!$B$19*$B504*(Premissas!$B$14/100)</f>
        <v>24432.4</v>
      </c>
      <c r="Q504" s="9" t="n">
        <f aca="false">P504-$C504</f>
        <v>24432.4</v>
      </c>
      <c r="R504" s="9" t="n">
        <f aca="false">R503+Q504</f>
        <v>11808759.0800001</v>
      </c>
      <c r="S504" s="37" t="str">
        <f aca="false">IF(AND(R503&lt;0,R504&gt;=0,A504&lt;=MAX(120,Premissas!$B$15*12)),(A504-1)+(-R503)/Q504,"")</f>
        <v/>
      </c>
    </row>
    <row r="505" customFormat="false" ht="15" hidden="false" customHeight="false" outlineLevel="0" collapsed="false">
      <c r="A505" s="10" t="n">
        <f aca="false">A504+1</f>
        <v>501</v>
      </c>
      <c r="B505" s="36" t="n">
        <f aca="false">IF(Premissas!$B$9&lt;=1,1,MIN(1,Premissas!$B$8/100+(1-Premissas!$B$8/100)*(A505-1)/(Premissas!$B$9-1)))</f>
        <v>1</v>
      </c>
      <c r="C505" s="9" t="n">
        <f aca="false">IF(A505&lt;=Resultados!$B$9,Resultados!$B$10,0)</f>
        <v>0</v>
      </c>
      <c r="D505" s="9" t="n">
        <f aca="false">Resultados!$E$37*$B505-Resultados!$F$37*$B505-Premissas!$B$24-Resultados!$E$37*$B505*(Premissas!$B$14/100)</f>
        <v>19027</v>
      </c>
      <c r="E505" s="9" t="n">
        <f aca="false">D505-$C505</f>
        <v>19027</v>
      </c>
      <c r="F505" s="9" t="n">
        <f aca="false">F504+E505</f>
        <v>9142923.9</v>
      </c>
      <c r="G505" s="37" t="str">
        <f aca="false">IF(AND(F504&lt;0,F505&gt;=0,A505&lt;=MAX(120,Premissas!$B$15*12)),(A505-1)+(-F504)/E505,"")</f>
        <v/>
      </c>
      <c r="H505" s="9" t="n">
        <f aca="false">Resultados!$E$38*$B505-Resultados!$F$38*$B505-Premissas!$B$24-Resultados!$E$38*$B505*(Premissas!$B$14/100)</f>
        <v>24432.4</v>
      </c>
      <c r="I505" s="9" t="n">
        <f aca="false">H505-$C505</f>
        <v>24432.4</v>
      </c>
      <c r="J505" s="9" t="n">
        <f aca="false">J504+I505</f>
        <v>11833191.4800001</v>
      </c>
      <c r="K505" s="37" t="str">
        <f aca="false">IF(AND(J504&lt;0,J505&gt;=0,A505&lt;=MAX(120,Premissas!$B$15*12)),(A505-1)+(-J504)/I505,"")</f>
        <v/>
      </c>
      <c r="L505" s="9" t="n">
        <f aca="false">Resultados!$E$39*$B505-Resultados!$F$39*$B505-Premissas!$B$24-Resultados!$E$39*$B505*(Premissas!$B$14/100)</f>
        <v>29837.8</v>
      </c>
      <c r="M505" s="9" t="n">
        <f aca="false">L505-$C505</f>
        <v>29837.8</v>
      </c>
      <c r="N505" s="9" t="n">
        <f aca="false">N504+M505</f>
        <v>14523459.0600001</v>
      </c>
      <c r="O505" s="37" t="str">
        <f aca="false">IF(AND(N504&lt;0,N505&gt;=0,A505&lt;=MAX(120,Premissas!$B$15*12)),(A505-1)+(-N504)/M505,"")</f>
        <v/>
      </c>
      <c r="P505" s="9" t="n">
        <f aca="false">Resultados!$B$19*$B505-Resultados!$B$20*$B505-Premissas!$B$24-Resultados!$B$19*$B505*(Premissas!$B$14/100)</f>
        <v>24432.4</v>
      </c>
      <c r="Q505" s="9" t="n">
        <f aca="false">P505-$C505</f>
        <v>24432.4</v>
      </c>
      <c r="R505" s="9" t="n">
        <f aca="false">R504+Q505</f>
        <v>11833191.4800001</v>
      </c>
      <c r="S505" s="37" t="str">
        <f aca="false">IF(AND(R504&lt;0,R505&gt;=0,A505&lt;=MAX(120,Premissas!$B$15*12)),(A505-1)+(-R504)/Q505,"")</f>
        <v/>
      </c>
    </row>
    <row r="506" customFormat="false" ht="15" hidden="false" customHeight="false" outlineLevel="0" collapsed="false">
      <c r="A506" s="10" t="n">
        <f aca="false">A505+1</f>
        <v>502</v>
      </c>
      <c r="B506" s="36" t="n">
        <f aca="false">IF(Premissas!$B$9&lt;=1,1,MIN(1,Premissas!$B$8/100+(1-Premissas!$B$8/100)*(A506-1)/(Premissas!$B$9-1)))</f>
        <v>1</v>
      </c>
      <c r="C506" s="9" t="n">
        <f aca="false">IF(A506&lt;=Resultados!$B$9,Resultados!$B$10,0)</f>
        <v>0</v>
      </c>
      <c r="D506" s="9" t="n">
        <f aca="false">Resultados!$E$37*$B506-Resultados!$F$37*$B506-Premissas!$B$24-Resultados!$E$37*$B506*(Premissas!$B$14/100)</f>
        <v>19027</v>
      </c>
      <c r="E506" s="9" t="n">
        <f aca="false">D506-$C506</f>
        <v>19027</v>
      </c>
      <c r="F506" s="9" t="n">
        <f aca="false">F505+E506</f>
        <v>9161950.9</v>
      </c>
      <c r="G506" s="37" t="str">
        <f aca="false">IF(AND(F505&lt;0,F506&gt;=0,A506&lt;=MAX(120,Premissas!$B$15*12)),(A506-1)+(-F505)/E506,"")</f>
        <v/>
      </c>
      <c r="H506" s="9" t="n">
        <f aca="false">Resultados!$E$38*$B506-Resultados!$F$38*$B506-Premissas!$B$24-Resultados!$E$38*$B506*(Premissas!$B$14/100)</f>
        <v>24432.4</v>
      </c>
      <c r="I506" s="9" t="n">
        <f aca="false">H506-$C506</f>
        <v>24432.4</v>
      </c>
      <c r="J506" s="9" t="n">
        <f aca="false">J505+I506</f>
        <v>11857623.8800001</v>
      </c>
      <c r="K506" s="37" t="str">
        <f aca="false">IF(AND(J505&lt;0,J506&gt;=0,A506&lt;=MAX(120,Premissas!$B$15*12)),(A506-1)+(-J505)/I506,"")</f>
        <v/>
      </c>
      <c r="L506" s="9" t="n">
        <f aca="false">Resultados!$E$39*$B506-Resultados!$F$39*$B506-Premissas!$B$24-Resultados!$E$39*$B506*(Premissas!$B$14/100)</f>
        <v>29837.8</v>
      </c>
      <c r="M506" s="9" t="n">
        <f aca="false">L506-$C506</f>
        <v>29837.8</v>
      </c>
      <c r="N506" s="9" t="n">
        <f aca="false">N505+M506</f>
        <v>14553296.8600001</v>
      </c>
      <c r="O506" s="37" t="str">
        <f aca="false">IF(AND(N505&lt;0,N506&gt;=0,A506&lt;=MAX(120,Premissas!$B$15*12)),(A506-1)+(-N505)/M506,"")</f>
        <v/>
      </c>
      <c r="P506" s="9" t="n">
        <f aca="false">Resultados!$B$19*$B506-Resultados!$B$20*$B506-Premissas!$B$24-Resultados!$B$19*$B506*(Premissas!$B$14/100)</f>
        <v>24432.4</v>
      </c>
      <c r="Q506" s="9" t="n">
        <f aca="false">P506-$C506</f>
        <v>24432.4</v>
      </c>
      <c r="R506" s="9" t="n">
        <f aca="false">R505+Q506</f>
        <v>11857623.8800001</v>
      </c>
      <c r="S506" s="37" t="str">
        <f aca="false">IF(AND(R505&lt;0,R506&gt;=0,A506&lt;=MAX(120,Premissas!$B$15*12)),(A506-1)+(-R505)/Q506,"")</f>
        <v/>
      </c>
    </row>
    <row r="507" customFormat="false" ht="15" hidden="false" customHeight="false" outlineLevel="0" collapsed="false">
      <c r="A507" s="10" t="n">
        <f aca="false">A506+1</f>
        <v>503</v>
      </c>
      <c r="B507" s="36" t="n">
        <f aca="false">IF(Premissas!$B$9&lt;=1,1,MIN(1,Premissas!$B$8/100+(1-Premissas!$B$8/100)*(A507-1)/(Premissas!$B$9-1)))</f>
        <v>1</v>
      </c>
      <c r="C507" s="9" t="n">
        <f aca="false">IF(A507&lt;=Resultados!$B$9,Resultados!$B$10,0)</f>
        <v>0</v>
      </c>
      <c r="D507" s="9" t="n">
        <f aca="false">Resultados!$E$37*$B507-Resultados!$F$37*$B507-Premissas!$B$24-Resultados!$E$37*$B507*(Premissas!$B$14/100)</f>
        <v>19027</v>
      </c>
      <c r="E507" s="9" t="n">
        <f aca="false">D507-$C507</f>
        <v>19027</v>
      </c>
      <c r="F507" s="9" t="n">
        <f aca="false">F506+E507</f>
        <v>9180977.9</v>
      </c>
      <c r="G507" s="37" t="str">
        <f aca="false">IF(AND(F506&lt;0,F507&gt;=0,A507&lt;=MAX(120,Premissas!$B$15*12)),(A507-1)+(-F506)/E507,"")</f>
        <v/>
      </c>
      <c r="H507" s="9" t="n">
        <f aca="false">Resultados!$E$38*$B507-Resultados!$F$38*$B507-Premissas!$B$24-Resultados!$E$38*$B507*(Premissas!$B$14/100)</f>
        <v>24432.4</v>
      </c>
      <c r="I507" s="9" t="n">
        <f aca="false">H507-$C507</f>
        <v>24432.4</v>
      </c>
      <c r="J507" s="9" t="n">
        <f aca="false">J506+I507</f>
        <v>11882056.2800001</v>
      </c>
      <c r="K507" s="37" t="str">
        <f aca="false">IF(AND(J506&lt;0,J507&gt;=0,A507&lt;=MAX(120,Premissas!$B$15*12)),(A507-1)+(-J506)/I507,"")</f>
        <v/>
      </c>
      <c r="L507" s="9" t="n">
        <f aca="false">Resultados!$E$39*$B507-Resultados!$F$39*$B507-Premissas!$B$24-Resultados!$E$39*$B507*(Premissas!$B$14/100)</f>
        <v>29837.8</v>
      </c>
      <c r="M507" s="9" t="n">
        <f aca="false">L507-$C507</f>
        <v>29837.8</v>
      </c>
      <c r="N507" s="9" t="n">
        <f aca="false">N506+M507</f>
        <v>14583134.6600001</v>
      </c>
      <c r="O507" s="37" t="str">
        <f aca="false">IF(AND(N506&lt;0,N507&gt;=0,A507&lt;=MAX(120,Premissas!$B$15*12)),(A507-1)+(-N506)/M507,"")</f>
        <v/>
      </c>
      <c r="P507" s="9" t="n">
        <f aca="false">Resultados!$B$19*$B507-Resultados!$B$20*$B507-Premissas!$B$24-Resultados!$B$19*$B507*(Premissas!$B$14/100)</f>
        <v>24432.4</v>
      </c>
      <c r="Q507" s="9" t="n">
        <f aca="false">P507-$C507</f>
        <v>24432.4</v>
      </c>
      <c r="R507" s="9" t="n">
        <f aca="false">R506+Q507</f>
        <v>11882056.2800001</v>
      </c>
      <c r="S507" s="37" t="str">
        <f aca="false">IF(AND(R506&lt;0,R507&gt;=0,A507&lt;=MAX(120,Premissas!$B$15*12)),(A507-1)+(-R506)/Q507,"")</f>
        <v/>
      </c>
    </row>
    <row r="508" customFormat="false" ht="15" hidden="false" customHeight="false" outlineLevel="0" collapsed="false">
      <c r="A508" s="10" t="n">
        <f aca="false">A507+1</f>
        <v>504</v>
      </c>
      <c r="B508" s="36" t="n">
        <f aca="false">IF(Premissas!$B$9&lt;=1,1,MIN(1,Premissas!$B$8/100+(1-Premissas!$B$8/100)*(A508-1)/(Premissas!$B$9-1)))</f>
        <v>1</v>
      </c>
      <c r="C508" s="9" t="n">
        <f aca="false">IF(A508&lt;=Resultados!$B$9,Resultados!$B$10,0)</f>
        <v>0</v>
      </c>
      <c r="D508" s="9" t="n">
        <f aca="false">Resultados!$E$37*$B508-Resultados!$F$37*$B508-Premissas!$B$24-Resultados!$E$37*$B508*(Premissas!$B$14/100)</f>
        <v>19027</v>
      </c>
      <c r="E508" s="9" t="n">
        <f aca="false">D508-$C508</f>
        <v>19027</v>
      </c>
      <c r="F508" s="9" t="n">
        <f aca="false">F507+E508</f>
        <v>9200004.9</v>
      </c>
      <c r="G508" s="37" t="str">
        <f aca="false">IF(AND(F507&lt;0,F508&gt;=0,A508&lt;=MAX(120,Premissas!$B$15*12)),(A508-1)+(-F507)/E508,"")</f>
        <v/>
      </c>
      <c r="H508" s="9" t="n">
        <f aca="false">Resultados!$E$38*$B508-Resultados!$F$38*$B508-Premissas!$B$24-Resultados!$E$38*$B508*(Premissas!$B$14/100)</f>
        <v>24432.4</v>
      </c>
      <c r="I508" s="9" t="n">
        <f aca="false">H508-$C508</f>
        <v>24432.4</v>
      </c>
      <c r="J508" s="9" t="n">
        <f aca="false">J507+I508</f>
        <v>11906488.6800001</v>
      </c>
      <c r="K508" s="37" t="str">
        <f aca="false">IF(AND(J507&lt;0,J508&gt;=0,A508&lt;=MAX(120,Premissas!$B$15*12)),(A508-1)+(-J507)/I508,"")</f>
        <v/>
      </c>
      <c r="L508" s="9" t="n">
        <f aca="false">Resultados!$E$39*$B508-Resultados!$F$39*$B508-Premissas!$B$24-Resultados!$E$39*$B508*(Premissas!$B$14/100)</f>
        <v>29837.8</v>
      </c>
      <c r="M508" s="9" t="n">
        <f aca="false">L508-$C508</f>
        <v>29837.8</v>
      </c>
      <c r="N508" s="9" t="n">
        <f aca="false">N507+M508</f>
        <v>14612972.4600001</v>
      </c>
      <c r="O508" s="37" t="str">
        <f aca="false">IF(AND(N507&lt;0,N508&gt;=0,A508&lt;=MAX(120,Premissas!$B$15*12)),(A508-1)+(-N507)/M508,"")</f>
        <v/>
      </c>
      <c r="P508" s="9" t="n">
        <f aca="false">Resultados!$B$19*$B508-Resultados!$B$20*$B508-Premissas!$B$24-Resultados!$B$19*$B508*(Premissas!$B$14/100)</f>
        <v>24432.4</v>
      </c>
      <c r="Q508" s="9" t="n">
        <f aca="false">P508-$C508</f>
        <v>24432.4</v>
      </c>
      <c r="R508" s="9" t="n">
        <f aca="false">R507+Q508</f>
        <v>11906488.6800001</v>
      </c>
      <c r="S508" s="37" t="str">
        <f aca="false">IF(AND(R507&lt;0,R508&gt;=0,A508&lt;=MAX(120,Premissas!$B$15*12)),(A508-1)+(-R507)/Q508,"")</f>
        <v/>
      </c>
    </row>
    <row r="509" customFormat="false" ht="15" hidden="false" customHeight="false" outlineLevel="0" collapsed="false">
      <c r="A509" s="10" t="n">
        <f aca="false">A508+1</f>
        <v>505</v>
      </c>
      <c r="B509" s="36" t="n">
        <f aca="false">IF(Premissas!$B$9&lt;=1,1,MIN(1,Premissas!$B$8/100+(1-Premissas!$B$8/100)*(A509-1)/(Premissas!$B$9-1)))</f>
        <v>1</v>
      </c>
      <c r="C509" s="9" t="n">
        <f aca="false">IF(A509&lt;=Resultados!$B$9,Resultados!$B$10,0)</f>
        <v>0</v>
      </c>
      <c r="D509" s="9" t="n">
        <f aca="false">Resultados!$E$37*$B509-Resultados!$F$37*$B509-Premissas!$B$24-Resultados!$E$37*$B509*(Premissas!$B$14/100)</f>
        <v>19027</v>
      </c>
      <c r="E509" s="9" t="n">
        <f aca="false">D509-$C509</f>
        <v>19027</v>
      </c>
      <c r="F509" s="9" t="n">
        <f aca="false">F508+E509</f>
        <v>9219031.9</v>
      </c>
      <c r="G509" s="37" t="str">
        <f aca="false">IF(AND(F508&lt;0,F509&gt;=0,A509&lt;=MAX(120,Premissas!$B$15*12)),(A509-1)+(-F508)/E509,"")</f>
        <v/>
      </c>
      <c r="H509" s="9" t="n">
        <f aca="false">Resultados!$E$38*$B509-Resultados!$F$38*$B509-Premissas!$B$24-Resultados!$E$38*$B509*(Premissas!$B$14/100)</f>
        <v>24432.4</v>
      </c>
      <c r="I509" s="9" t="n">
        <f aca="false">H509-$C509</f>
        <v>24432.4</v>
      </c>
      <c r="J509" s="9" t="n">
        <f aca="false">J508+I509</f>
        <v>11930921.0800001</v>
      </c>
      <c r="K509" s="37" t="str">
        <f aca="false">IF(AND(J508&lt;0,J509&gt;=0,A509&lt;=MAX(120,Premissas!$B$15*12)),(A509-1)+(-J508)/I509,"")</f>
        <v/>
      </c>
      <c r="L509" s="9" t="n">
        <f aca="false">Resultados!$E$39*$B509-Resultados!$F$39*$B509-Premissas!$B$24-Resultados!$E$39*$B509*(Premissas!$B$14/100)</f>
        <v>29837.8</v>
      </c>
      <c r="M509" s="9" t="n">
        <f aca="false">L509-$C509</f>
        <v>29837.8</v>
      </c>
      <c r="N509" s="9" t="n">
        <f aca="false">N508+M509</f>
        <v>14642810.2600001</v>
      </c>
      <c r="O509" s="37" t="str">
        <f aca="false">IF(AND(N508&lt;0,N509&gt;=0,A509&lt;=MAX(120,Premissas!$B$15*12)),(A509-1)+(-N508)/M509,"")</f>
        <v/>
      </c>
      <c r="P509" s="9" t="n">
        <f aca="false">Resultados!$B$19*$B509-Resultados!$B$20*$B509-Premissas!$B$24-Resultados!$B$19*$B509*(Premissas!$B$14/100)</f>
        <v>24432.4</v>
      </c>
      <c r="Q509" s="9" t="n">
        <f aca="false">P509-$C509</f>
        <v>24432.4</v>
      </c>
      <c r="R509" s="9" t="n">
        <f aca="false">R508+Q509</f>
        <v>11930921.0800001</v>
      </c>
      <c r="S509" s="37" t="str">
        <f aca="false">IF(AND(R508&lt;0,R509&gt;=0,A509&lt;=MAX(120,Premissas!$B$15*12)),(A509-1)+(-R508)/Q509,"")</f>
        <v/>
      </c>
    </row>
    <row r="510" customFormat="false" ht="15" hidden="false" customHeight="false" outlineLevel="0" collapsed="false">
      <c r="A510" s="10" t="n">
        <f aca="false">A509+1</f>
        <v>506</v>
      </c>
      <c r="B510" s="36" t="n">
        <f aca="false">IF(Premissas!$B$9&lt;=1,1,MIN(1,Premissas!$B$8/100+(1-Premissas!$B$8/100)*(A510-1)/(Premissas!$B$9-1)))</f>
        <v>1</v>
      </c>
      <c r="C510" s="9" t="n">
        <f aca="false">IF(A510&lt;=Resultados!$B$9,Resultados!$B$10,0)</f>
        <v>0</v>
      </c>
      <c r="D510" s="9" t="n">
        <f aca="false">Resultados!$E$37*$B510-Resultados!$F$37*$B510-Premissas!$B$24-Resultados!$E$37*$B510*(Premissas!$B$14/100)</f>
        <v>19027</v>
      </c>
      <c r="E510" s="9" t="n">
        <f aca="false">D510-$C510</f>
        <v>19027</v>
      </c>
      <c r="F510" s="9" t="n">
        <f aca="false">F509+E510</f>
        <v>9238058.9</v>
      </c>
      <c r="G510" s="37" t="str">
        <f aca="false">IF(AND(F509&lt;0,F510&gt;=0,A510&lt;=MAX(120,Premissas!$B$15*12)),(A510-1)+(-F509)/E510,"")</f>
        <v/>
      </c>
      <c r="H510" s="9" t="n">
        <f aca="false">Resultados!$E$38*$B510-Resultados!$F$38*$B510-Premissas!$B$24-Resultados!$E$38*$B510*(Premissas!$B$14/100)</f>
        <v>24432.4</v>
      </c>
      <c r="I510" s="9" t="n">
        <f aca="false">H510-$C510</f>
        <v>24432.4</v>
      </c>
      <c r="J510" s="9" t="n">
        <f aca="false">J509+I510</f>
        <v>11955353.4800001</v>
      </c>
      <c r="K510" s="37" t="str">
        <f aca="false">IF(AND(J509&lt;0,J510&gt;=0,A510&lt;=MAX(120,Premissas!$B$15*12)),(A510-1)+(-J509)/I510,"")</f>
        <v/>
      </c>
      <c r="L510" s="9" t="n">
        <f aca="false">Resultados!$E$39*$B510-Resultados!$F$39*$B510-Premissas!$B$24-Resultados!$E$39*$B510*(Premissas!$B$14/100)</f>
        <v>29837.8</v>
      </c>
      <c r="M510" s="9" t="n">
        <f aca="false">L510-$C510</f>
        <v>29837.8</v>
      </c>
      <c r="N510" s="9" t="n">
        <f aca="false">N509+M510</f>
        <v>14672648.0600001</v>
      </c>
      <c r="O510" s="37" t="str">
        <f aca="false">IF(AND(N509&lt;0,N510&gt;=0,A510&lt;=MAX(120,Premissas!$B$15*12)),(A510-1)+(-N509)/M510,"")</f>
        <v/>
      </c>
      <c r="P510" s="9" t="n">
        <f aca="false">Resultados!$B$19*$B510-Resultados!$B$20*$B510-Premissas!$B$24-Resultados!$B$19*$B510*(Premissas!$B$14/100)</f>
        <v>24432.4</v>
      </c>
      <c r="Q510" s="9" t="n">
        <f aca="false">P510-$C510</f>
        <v>24432.4</v>
      </c>
      <c r="R510" s="9" t="n">
        <f aca="false">R509+Q510</f>
        <v>11955353.4800001</v>
      </c>
      <c r="S510" s="37" t="str">
        <f aca="false">IF(AND(R509&lt;0,R510&gt;=0,A510&lt;=MAX(120,Premissas!$B$15*12)),(A510-1)+(-R509)/Q510,"")</f>
        <v/>
      </c>
    </row>
    <row r="511" customFormat="false" ht="15" hidden="false" customHeight="false" outlineLevel="0" collapsed="false">
      <c r="A511" s="10" t="n">
        <f aca="false">A510+1</f>
        <v>507</v>
      </c>
      <c r="B511" s="36" t="n">
        <f aca="false">IF(Premissas!$B$9&lt;=1,1,MIN(1,Premissas!$B$8/100+(1-Premissas!$B$8/100)*(A511-1)/(Premissas!$B$9-1)))</f>
        <v>1</v>
      </c>
      <c r="C511" s="9" t="n">
        <f aca="false">IF(A511&lt;=Resultados!$B$9,Resultados!$B$10,0)</f>
        <v>0</v>
      </c>
      <c r="D511" s="9" t="n">
        <f aca="false">Resultados!$E$37*$B511-Resultados!$F$37*$B511-Premissas!$B$24-Resultados!$E$37*$B511*(Premissas!$B$14/100)</f>
        <v>19027</v>
      </c>
      <c r="E511" s="9" t="n">
        <f aca="false">D511-$C511</f>
        <v>19027</v>
      </c>
      <c r="F511" s="9" t="n">
        <f aca="false">F510+E511</f>
        <v>9257085.9</v>
      </c>
      <c r="G511" s="37" t="str">
        <f aca="false">IF(AND(F510&lt;0,F511&gt;=0,A511&lt;=MAX(120,Premissas!$B$15*12)),(A511-1)+(-F510)/E511,"")</f>
        <v/>
      </c>
      <c r="H511" s="9" t="n">
        <f aca="false">Resultados!$E$38*$B511-Resultados!$F$38*$B511-Premissas!$B$24-Resultados!$E$38*$B511*(Premissas!$B$14/100)</f>
        <v>24432.4</v>
      </c>
      <c r="I511" s="9" t="n">
        <f aca="false">H511-$C511</f>
        <v>24432.4</v>
      </c>
      <c r="J511" s="9" t="n">
        <f aca="false">J510+I511</f>
        <v>11979785.8800001</v>
      </c>
      <c r="K511" s="37" t="str">
        <f aca="false">IF(AND(J510&lt;0,J511&gt;=0,A511&lt;=MAX(120,Premissas!$B$15*12)),(A511-1)+(-J510)/I511,"")</f>
        <v/>
      </c>
      <c r="L511" s="9" t="n">
        <f aca="false">Resultados!$E$39*$B511-Resultados!$F$39*$B511-Premissas!$B$24-Resultados!$E$39*$B511*(Premissas!$B$14/100)</f>
        <v>29837.8</v>
      </c>
      <c r="M511" s="9" t="n">
        <f aca="false">L511-$C511</f>
        <v>29837.8</v>
      </c>
      <c r="N511" s="9" t="n">
        <f aca="false">N510+M511</f>
        <v>14702485.8600001</v>
      </c>
      <c r="O511" s="37" t="str">
        <f aca="false">IF(AND(N510&lt;0,N511&gt;=0,A511&lt;=MAX(120,Premissas!$B$15*12)),(A511-1)+(-N510)/M511,"")</f>
        <v/>
      </c>
      <c r="P511" s="9" t="n">
        <f aca="false">Resultados!$B$19*$B511-Resultados!$B$20*$B511-Premissas!$B$24-Resultados!$B$19*$B511*(Premissas!$B$14/100)</f>
        <v>24432.4</v>
      </c>
      <c r="Q511" s="9" t="n">
        <f aca="false">P511-$C511</f>
        <v>24432.4</v>
      </c>
      <c r="R511" s="9" t="n">
        <f aca="false">R510+Q511</f>
        <v>11979785.8800001</v>
      </c>
      <c r="S511" s="37" t="str">
        <f aca="false">IF(AND(R510&lt;0,R511&gt;=0,A511&lt;=MAX(120,Premissas!$B$15*12)),(A511-1)+(-R510)/Q511,"")</f>
        <v/>
      </c>
    </row>
    <row r="512" customFormat="false" ht="15" hidden="false" customHeight="false" outlineLevel="0" collapsed="false">
      <c r="A512" s="10" t="n">
        <f aca="false">A511+1</f>
        <v>508</v>
      </c>
      <c r="B512" s="36" t="n">
        <f aca="false">IF(Premissas!$B$9&lt;=1,1,MIN(1,Premissas!$B$8/100+(1-Premissas!$B$8/100)*(A512-1)/(Premissas!$B$9-1)))</f>
        <v>1</v>
      </c>
      <c r="C512" s="9" t="n">
        <f aca="false">IF(A512&lt;=Resultados!$B$9,Resultados!$B$10,0)</f>
        <v>0</v>
      </c>
      <c r="D512" s="9" t="n">
        <f aca="false">Resultados!$E$37*$B512-Resultados!$F$37*$B512-Premissas!$B$24-Resultados!$E$37*$B512*(Premissas!$B$14/100)</f>
        <v>19027</v>
      </c>
      <c r="E512" s="9" t="n">
        <f aca="false">D512-$C512</f>
        <v>19027</v>
      </c>
      <c r="F512" s="9" t="n">
        <f aca="false">F511+E512</f>
        <v>9276112.9</v>
      </c>
      <c r="G512" s="37" t="str">
        <f aca="false">IF(AND(F511&lt;0,F512&gt;=0,A512&lt;=MAX(120,Premissas!$B$15*12)),(A512-1)+(-F511)/E512,"")</f>
        <v/>
      </c>
      <c r="H512" s="9" t="n">
        <f aca="false">Resultados!$E$38*$B512-Resultados!$F$38*$B512-Premissas!$B$24-Resultados!$E$38*$B512*(Premissas!$B$14/100)</f>
        <v>24432.4</v>
      </c>
      <c r="I512" s="9" t="n">
        <f aca="false">H512-$C512</f>
        <v>24432.4</v>
      </c>
      <c r="J512" s="9" t="n">
        <f aca="false">J511+I512</f>
        <v>12004218.2800001</v>
      </c>
      <c r="K512" s="37" t="str">
        <f aca="false">IF(AND(J511&lt;0,J512&gt;=0,A512&lt;=MAX(120,Premissas!$B$15*12)),(A512-1)+(-J511)/I512,"")</f>
        <v/>
      </c>
      <c r="L512" s="9" t="n">
        <f aca="false">Resultados!$E$39*$B512-Resultados!$F$39*$B512-Premissas!$B$24-Resultados!$E$39*$B512*(Premissas!$B$14/100)</f>
        <v>29837.8</v>
      </c>
      <c r="M512" s="9" t="n">
        <f aca="false">L512-$C512</f>
        <v>29837.8</v>
      </c>
      <c r="N512" s="9" t="n">
        <f aca="false">N511+M512</f>
        <v>14732323.6600001</v>
      </c>
      <c r="O512" s="37" t="str">
        <f aca="false">IF(AND(N511&lt;0,N512&gt;=0,A512&lt;=MAX(120,Premissas!$B$15*12)),(A512-1)+(-N511)/M512,"")</f>
        <v/>
      </c>
      <c r="P512" s="9" t="n">
        <f aca="false">Resultados!$B$19*$B512-Resultados!$B$20*$B512-Premissas!$B$24-Resultados!$B$19*$B512*(Premissas!$B$14/100)</f>
        <v>24432.4</v>
      </c>
      <c r="Q512" s="9" t="n">
        <f aca="false">P512-$C512</f>
        <v>24432.4</v>
      </c>
      <c r="R512" s="9" t="n">
        <f aca="false">R511+Q512</f>
        <v>12004218.2800001</v>
      </c>
      <c r="S512" s="37" t="str">
        <f aca="false">IF(AND(R511&lt;0,R512&gt;=0,A512&lt;=MAX(120,Premissas!$B$15*12)),(A512-1)+(-R511)/Q512,"")</f>
        <v/>
      </c>
    </row>
    <row r="513" customFormat="false" ht="15" hidden="false" customHeight="false" outlineLevel="0" collapsed="false">
      <c r="A513" s="10" t="n">
        <f aca="false">A512+1</f>
        <v>509</v>
      </c>
      <c r="B513" s="36" t="n">
        <f aca="false">IF(Premissas!$B$9&lt;=1,1,MIN(1,Premissas!$B$8/100+(1-Premissas!$B$8/100)*(A513-1)/(Premissas!$B$9-1)))</f>
        <v>1</v>
      </c>
      <c r="C513" s="9" t="n">
        <f aca="false">IF(A513&lt;=Resultados!$B$9,Resultados!$B$10,0)</f>
        <v>0</v>
      </c>
      <c r="D513" s="9" t="n">
        <f aca="false">Resultados!$E$37*$B513-Resultados!$F$37*$B513-Premissas!$B$24-Resultados!$E$37*$B513*(Premissas!$B$14/100)</f>
        <v>19027</v>
      </c>
      <c r="E513" s="9" t="n">
        <f aca="false">D513-$C513</f>
        <v>19027</v>
      </c>
      <c r="F513" s="9" t="n">
        <f aca="false">F512+E513</f>
        <v>9295139.9</v>
      </c>
      <c r="G513" s="37" t="str">
        <f aca="false">IF(AND(F512&lt;0,F513&gt;=0,A513&lt;=MAX(120,Premissas!$B$15*12)),(A513-1)+(-F512)/E513,"")</f>
        <v/>
      </c>
      <c r="H513" s="9" t="n">
        <f aca="false">Resultados!$E$38*$B513-Resultados!$F$38*$B513-Premissas!$B$24-Resultados!$E$38*$B513*(Premissas!$B$14/100)</f>
        <v>24432.4</v>
      </c>
      <c r="I513" s="9" t="n">
        <f aca="false">H513-$C513</f>
        <v>24432.4</v>
      </c>
      <c r="J513" s="9" t="n">
        <f aca="false">J512+I513</f>
        <v>12028650.6800001</v>
      </c>
      <c r="K513" s="37" t="str">
        <f aca="false">IF(AND(J512&lt;0,J513&gt;=0,A513&lt;=MAX(120,Premissas!$B$15*12)),(A513-1)+(-J512)/I513,"")</f>
        <v/>
      </c>
      <c r="L513" s="9" t="n">
        <f aca="false">Resultados!$E$39*$B513-Resultados!$F$39*$B513-Premissas!$B$24-Resultados!$E$39*$B513*(Premissas!$B$14/100)</f>
        <v>29837.8</v>
      </c>
      <c r="M513" s="9" t="n">
        <f aca="false">L513-$C513</f>
        <v>29837.8</v>
      </c>
      <c r="N513" s="9" t="n">
        <f aca="false">N512+M513</f>
        <v>14762161.4600001</v>
      </c>
      <c r="O513" s="37" t="str">
        <f aca="false">IF(AND(N512&lt;0,N513&gt;=0,A513&lt;=MAX(120,Premissas!$B$15*12)),(A513-1)+(-N512)/M513,"")</f>
        <v/>
      </c>
      <c r="P513" s="9" t="n">
        <f aca="false">Resultados!$B$19*$B513-Resultados!$B$20*$B513-Premissas!$B$24-Resultados!$B$19*$B513*(Premissas!$B$14/100)</f>
        <v>24432.4</v>
      </c>
      <c r="Q513" s="9" t="n">
        <f aca="false">P513-$C513</f>
        <v>24432.4</v>
      </c>
      <c r="R513" s="9" t="n">
        <f aca="false">R512+Q513</f>
        <v>12028650.6800001</v>
      </c>
      <c r="S513" s="37" t="str">
        <f aca="false">IF(AND(R512&lt;0,R513&gt;=0,A513&lt;=MAX(120,Premissas!$B$15*12)),(A513-1)+(-R512)/Q513,"")</f>
        <v/>
      </c>
    </row>
    <row r="514" customFormat="false" ht="15" hidden="false" customHeight="false" outlineLevel="0" collapsed="false">
      <c r="A514" s="10" t="n">
        <f aca="false">A513+1</f>
        <v>510</v>
      </c>
      <c r="B514" s="36" t="n">
        <f aca="false">IF(Premissas!$B$9&lt;=1,1,MIN(1,Premissas!$B$8/100+(1-Premissas!$B$8/100)*(A514-1)/(Premissas!$B$9-1)))</f>
        <v>1</v>
      </c>
      <c r="C514" s="9" t="n">
        <f aca="false">IF(A514&lt;=Resultados!$B$9,Resultados!$B$10,0)</f>
        <v>0</v>
      </c>
      <c r="D514" s="9" t="n">
        <f aca="false">Resultados!$E$37*$B514-Resultados!$F$37*$B514-Premissas!$B$24-Resultados!$E$37*$B514*(Premissas!$B$14/100)</f>
        <v>19027</v>
      </c>
      <c r="E514" s="9" t="n">
        <f aca="false">D514-$C514</f>
        <v>19027</v>
      </c>
      <c r="F514" s="9" t="n">
        <f aca="false">F513+E514</f>
        <v>9314166.9</v>
      </c>
      <c r="G514" s="37" t="str">
        <f aca="false">IF(AND(F513&lt;0,F514&gt;=0,A514&lt;=MAX(120,Premissas!$B$15*12)),(A514-1)+(-F513)/E514,"")</f>
        <v/>
      </c>
      <c r="H514" s="9" t="n">
        <f aca="false">Resultados!$E$38*$B514-Resultados!$F$38*$B514-Premissas!$B$24-Resultados!$E$38*$B514*(Premissas!$B$14/100)</f>
        <v>24432.4</v>
      </c>
      <c r="I514" s="9" t="n">
        <f aca="false">H514-$C514</f>
        <v>24432.4</v>
      </c>
      <c r="J514" s="9" t="n">
        <f aca="false">J513+I514</f>
        <v>12053083.0800001</v>
      </c>
      <c r="K514" s="37" t="str">
        <f aca="false">IF(AND(J513&lt;0,J514&gt;=0,A514&lt;=MAX(120,Premissas!$B$15*12)),(A514-1)+(-J513)/I514,"")</f>
        <v/>
      </c>
      <c r="L514" s="9" t="n">
        <f aca="false">Resultados!$E$39*$B514-Resultados!$F$39*$B514-Premissas!$B$24-Resultados!$E$39*$B514*(Premissas!$B$14/100)</f>
        <v>29837.8</v>
      </c>
      <c r="M514" s="9" t="n">
        <f aca="false">L514-$C514</f>
        <v>29837.8</v>
      </c>
      <c r="N514" s="9" t="n">
        <f aca="false">N513+M514</f>
        <v>14791999.2600001</v>
      </c>
      <c r="O514" s="37" t="str">
        <f aca="false">IF(AND(N513&lt;0,N514&gt;=0,A514&lt;=MAX(120,Premissas!$B$15*12)),(A514-1)+(-N513)/M514,"")</f>
        <v/>
      </c>
      <c r="P514" s="9" t="n">
        <f aca="false">Resultados!$B$19*$B514-Resultados!$B$20*$B514-Premissas!$B$24-Resultados!$B$19*$B514*(Premissas!$B$14/100)</f>
        <v>24432.4</v>
      </c>
      <c r="Q514" s="9" t="n">
        <f aca="false">P514-$C514</f>
        <v>24432.4</v>
      </c>
      <c r="R514" s="9" t="n">
        <f aca="false">R513+Q514</f>
        <v>12053083.0800001</v>
      </c>
      <c r="S514" s="37" t="str">
        <f aca="false">IF(AND(R513&lt;0,R514&gt;=0,A514&lt;=MAX(120,Premissas!$B$15*12)),(A514-1)+(-R513)/Q514,"")</f>
        <v/>
      </c>
    </row>
    <row r="515" customFormat="false" ht="15" hidden="false" customHeight="false" outlineLevel="0" collapsed="false">
      <c r="A515" s="10" t="n">
        <f aca="false">A514+1</f>
        <v>511</v>
      </c>
      <c r="B515" s="36" t="n">
        <f aca="false">IF(Premissas!$B$9&lt;=1,1,MIN(1,Premissas!$B$8/100+(1-Premissas!$B$8/100)*(A515-1)/(Premissas!$B$9-1)))</f>
        <v>1</v>
      </c>
      <c r="C515" s="9" t="n">
        <f aca="false">IF(A515&lt;=Resultados!$B$9,Resultados!$B$10,0)</f>
        <v>0</v>
      </c>
      <c r="D515" s="9" t="n">
        <f aca="false">Resultados!$E$37*$B515-Resultados!$F$37*$B515-Premissas!$B$24-Resultados!$E$37*$B515*(Premissas!$B$14/100)</f>
        <v>19027</v>
      </c>
      <c r="E515" s="9" t="n">
        <f aca="false">D515-$C515</f>
        <v>19027</v>
      </c>
      <c r="F515" s="9" t="n">
        <f aca="false">F514+E515</f>
        <v>9333193.9</v>
      </c>
      <c r="G515" s="37" t="str">
        <f aca="false">IF(AND(F514&lt;0,F515&gt;=0,A515&lt;=MAX(120,Premissas!$B$15*12)),(A515-1)+(-F514)/E515,"")</f>
        <v/>
      </c>
      <c r="H515" s="9" t="n">
        <f aca="false">Resultados!$E$38*$B515-Resultados!$F$38*$B515-Premissas!$B$24-Resultados!$E$38*$B515*(Premissas!$B$14/100)</f>
        <v>24432.4</v>
      </c>
      <c r="I515" s="9" t="n">
        <f aca="false">H515-$C515</f>
        <v>24432.4</v>
      </c>
      <c r="J515" s="9" t="n">
        <f aca="false">J514+I515</f>
        <v>12077515.4800001</v>
      </c>
      <c r="K515" s="37" t="str">
        <f aca="false">IF(AND(J514&lt;0,J515&gt;=0,A515&lt;=MAX(120,Premissas!$B$15*12)),(A515-1)+(-J514)/I515,"")</f>
        <v/>
      </c>
      <c r="L515" s="9" t="n">
        <f aca="false">Resultados!$E$39*$B515-Resultados!$F$39*$B515-Premissas!$B$24-Resultados!$E$39*$B515*(Premissas!$B$14/100)</f>
        <v>29837.8</v>
      </c>
      <c r="M515" s="9" t="n">
        <f aca="false">L515-$C515</f>
        <v>29837.8</v>
      </c>
      <c r="N515" s="9" t="n">
        <f aca="false">N514+M515</f>
        <v>14821837.0600001</v>
      </c>
      <c r="O515" s="37" t="str">
        <f aca="false">IF(AND(N514&lt;0,N515&gt;=0,A515&lt;=MAX(120,Premissas!$B$15*12)),(A515-1)+(-N514)/M515,"")</f>
        <v/>
      </c>
      <c r="P515" s="9" t="n">
        <f aca="false">Resultados!$B$19*$B515-Resultados!$B$20*$B515-Premissas!$B$24-Resultados!$B$19*$B515*(Premissas!$B$14/100)</f>
        <v>24432.4</v>
      </c>
      <c r="Q515" s="9" t="n">
        <f aca="false">P515-$C515</f>
        <v>24432.4</v>
      </c>
      <c r="R515" s="9" t="n">
        <f aca="false">R514+Q515</f>
        <v>12077515.4800001</v>
      </c>
      <c r="S515" s="37" t="str">
        <f aca="false">IF(AND(R514&lt;0,R515&gt;=0,A515&lt;=MAX(120,Premissas!$B$15*12)),(A515-1)+(-R514)/Q515,"")</f>
        <v/>
      </c>
    </row>
    <row r="516" customFormat="false" ht="15" hidden="false" customHeight="false" outlineLevel="0" collapsed="false">
      <c r="A516" s="10" t="n">
        <f aca="false">A515+1</f>
        <v>512</v>
      </c>
      <c r="B516" s="36" t="n">
        <f aca="false">IF(Premissas!$B$9&lt;=1,1,MIN(1,Premissas!$B$8/100+(1-Premissas!$B$8/100)*(A516-1)/(Premissas!$B$9-1)))</f>
        <v>1</v>
      </c>
      <c r="C516" s="9" t="n">
        <f aca="false">IF(A516&lt;=Resultados!$B$9,Resultados!$B$10,0)</f>
        <v>0</v>
      </c>
      <c r="D516" s="9" t="n">
        <f aca="false">Resultados!$E$37*$B516-Resultados!$F$37*$B516-Premissas!$B$24-Resultados!$E$37*$B516*(Premissas!$B$14/100)</f>
        <v>19027</v>
      </c>
      <c r="E516" s="9" t="n">
        <f aca="false">D516-$C516</f>
        <v>19027</v>
      </c>
      <c r="F516" s="9" t="n">
        <f aca="false">F515+E516</f>
        <v>9352220.9</v>
      </c>
      <c r="G516" s="37" t="str">
        <f aca="false">IF(AND(F515&lt;0,F516&gt;=0,A516&lt;=MAX(120,Premissas!$B$15*12)),(A516-1)+(-F515)/E516,"")</f>
        <v/>
      </c>
      <c r="H516" s="9" t="n">
        <f aca="false">Resultados!$E$38*$B516-Resultados!$F$38*$B516-Premissas!$B$24-Resultados!$E$38*$B516*(Premissas!$B$14/100)</f>
        <v>24432.4</v>
      </c>
      <c r="I516" s="9" t="n">
        <f aca="false">H516-$C516</f>
        <v>24432.4</v>
      </c>
      <c r="J516" s="9" t="n">
        <f aca="false">J515+I516</f>
        <v>12101947.8800001</v>
      </c>
      <c r="K516" s="37" t="str">
        <f aca="false">IF(AND(J515&lt;0,J516&gt;=0,A516&lt;=MAX(120,Premissas!$B$15*12)),(A516-1)+(-J515)/I516,"")</f>
        <v/>
      </c>
      <c r="L516" s="9" t="n">
        <f aca="false">Resultados!$E$39*$B516-Resultados!$F$39*$B516-Premissas!$B$24-Resultados!$E$39*$B516*(Premissas!$B$14/100)</f>
        <v>29837.8</v>
      </c>
      <c r="M516" s="9" t="n">
        <f aca="false">L516-$C516</f>
        <v>29837.8</v>
      </c>
      <c r="N516" s="9" t="n">
        <f aca="false">N515+M516</f>
        <v>14851674.8600001</v>
      </c>
      <c r="O516" s="37" t="str">
        <f aca="false">IF(AND(N515&lt;0,N516&gt;=0,A516&lt;=MAX(120,Premissas!$B$15*12)),(A516-1)+(-N515)/M516,"")</f>
        <v/>
      </c>
      <c r="P516" s="9" t="n">
        <f aca="false">Resultados!$B$19*$B516-Resultados!$B$20*$B516-Premissas!$B$24-Resultados!$B$19*$B516*(Premissas!$B$14/100)</f>
        <v>24432.4</v>
      </c>
      <c r="Q516" s="9" t="n">
        <f aca="false">P516-$C516</f>
        <v>24432.4</v>
      </c>
      <c r="R516" s="9" t="n">
        <f aca="false">R515+Q516</f>
        <v>12101947.8800001</v>
      </c>
      <c r="S516" s="37" t="str">
        <f aca="false">IF(AND(R515&lt;0,R516&gt;=0,A516&lt;=MAX(120,Premissas!$B$15*12)),(A516-1)+(-R515)/Q516,"")</f>
        <v/>
      </c>
    </row>
    <row r="517" customFormat="false" ht="15" hidden="false" customHeight="false" outlineLevel="0" collapsed="false">
      <c r="A517" s="10" t="n">
        <f aca="false">A516+1</f>
        <v>513</v>
      </c>
      <c r="B517" s="36" t="n">
        <f aca="false">IF(Premissas!$B$9&lt;=1,1,MIN(1,Premissas!$B$8/100+(1-Premissas!$B$8/100)*(A517-1)/(Premissas!$B$9-1)))</f>
        <v>1</v>
      </c>
      <c r="C517" s="9" t="n">
        <f aca="false">IF(A517&lt;=Resultados!$B$9,Resultados!$B$10,0)</f>
        <v>0</v>
      </c>
      <c r="D517" s="9" t="n">
        <f aca="false">Resultados!$E$37*$B517-Resultados!$F$37*$B517-Premissas!$B$24-Resultados!$E$37*$B517*(Premissas!$B$14/100)</f>
        <v>19027</v>
      </c>
      <c r="E517" s="9" t="n">
        <f aca="false">D517-$C517</f>
        <v>19027</v>
      </c>
      <c r="F517" s="9" t="n">
        <f aca="false">F516+E517</f>
        <v>9371247.9</v>
      </c>
      <c r="G517" s="37" t="str">
        <f aca="false">IF(AND(F516&lt;0,F517&gt;=0,A517&lt;=MAX(120,Premissas!$B$15*12)),(A517-1)+(-F516)/E517,"")</f>
        <v/>
      </c>
      <c r="H517" s="9" t="n">
        <f aca="false">Resultados!$E$38*$B517-Resultados!$F$38*$B517-Premissas!$B$24-Resultados!$E$38*$B517*(Premissas!$B$14/100)</f>
        <v>24432.4</v>
      </c>
      <c r="I517" s="9" t="n">
        <f aca="false">H517-$C517</f>
        <v>24432.4</v>
      </c>
      <c r="J517" s="9" t="n">
        <f aca="false">J516+I517</f>
        <v>12126380.2800001</v>
      </c>
      <c r="K517" s="37" t="str">
        <f aca="false">IF(AND(J516&lt;0,J517&gt;=0,A517&lt;=MAX(120,Premissas!$B$15*12)),(A517-1)+(-J516)/I517,"")</f>
        <v/>
      </c>
      <c r="L517" s="9" t="n">
        <f aca="false">Resultados!$E$39*$B517-Resultados!$F$39*$B517-Premissas!$B$24-Resultados!$E$39*$B517*(Premissas!$B$14/100)</f>
        <v>29837.8</v>
      </c>
      <c r="M517" s="9" t="n">
        <f aca="false">L517-$C517</f>
        <v>29837.8</v>
      </c>
      <c r="N517" s="9" t="n">
        <f aca="false">N516+M517</f>
        <v>14881512.6600001</v>
      </c>
      <c r="O517" s="37" t="str">
        <f aca="false">IF(AND(N516&lt;0,N517&gt;=0,A517&lt;=MAX(120,Premissas!$B$15*12)),(A517-1)+(-N516)/M517,"")</f>
        <v/>
      </c>
      <c r="P517" s="9" t="n">
        <f aca="false">Resultados!$B$19*$B517-Resultados!$B$20*$B517-Premissas!$B$24-Resultados!$B$19*$B517*(Premissas!$B$14/100)</f>
        <v>24432.4</v>
      </c>
      <c r="Q517" s="9" t="n">
        <f aca="false">P517-$C517</f>
        <v>24432.4</v>
      </c>
      <c r="R517" s="9" t="n">
        <f aca="false">R516+Q517</f>
        <v>12126380.2800001</v>
      </c>
      <c r="S517" s="37" t="str">
        <f aca="false">IF(AND(R516&lt;0,R517&gt;=0,A517&lt;=MAX(120,Premissas!$B$15*12)),(A517-1)+(-R516)/Q517,"")</f>
        <v/>
      </c>
    </row>
    <row r="518" customFormat="false" ht="15" hidden="false" customHeight="false" outlineLevel="0" collapsed="false">
      <c r="A518" s="10" t="n">
        <f aca="false">A517+1</f>
        <v>514</v>
      </c>
      <c r="B518" s="36" t="n">
        <f aca="false">IF(Premissas!$B$9&lt;=1,1,MIN(1,Premissas!$B$8/100+(1-Premissas!$B$8/100)*(A518-1)/(Premissas!$B$9-1)))</f>
        <v>1</v>
      </c>
      <c r="C518" s="9" t="n">
        <f aca="false">IF(A518&lt;=Resultados!$B$9,Resultados!$B$10,0)</f>
        <v>0</v>
      </c>
      <c r="D518" s="9" t="n">
        <f aca="false">Resultados!$E$37*$B518-Resultados!$F$37*$B518-Premissas!$B$24-Resultados!$E$37*$B518*(Premissas!$B$14/100)</f>
        <v>19027</v>
      </c>
      <c r="E518" s="9" t="n">
        <f aca="false">D518-$C518</f>
        <v>19027</v>
      </c>
      <c r="F518" s="9" t="n">
        <f aca="false">F517+E518</f>
        <v>9390274.9</v>
      </c>
      <c r="G518" s="37" t="str">
        <f aca="false">IF(AND(F517&lt;0,F518&gt;=0,A518&lt;=MAX(120,Premissas!$B$15*12)),(A518-1)+(-F517)/E518,"")</f>
        <v/>
      </c>
      <c r="H518" s="9" t="n">
        <f aca="false">Resultados!$E$38*$B518-Resultados!$F$38*$B518-Premissas!$B$24-Resultados!$E$38*$B518*(Premissas!$B$14/100)</f>
        <v>24432.4</v>
      </c>
      <c r="I518" s="9" t="n">
        <f aca="false">H518-$C518</f>
        <v>24432.4</v>
      </c>
      <c r="J518" s="9" t="n">
        <f aca="false">J517+I518</f>
        <v>12150812.6800001</v>
      </c>
      <c r="K518" s="37" t="str">
        <f aca="false">IF(AND(J517&lt;0,J518&gt;=0,A518&lt;=MAX(120,Premissas!$B$15*12)),(A518-1)+(-J517)/I518,"")</f>
        <v/>
      </c>
      <c r="L518" s="9" t="n">
        <f aca="false">Resultados!$E$39*$B518-Resultados!$F$39*$B518-Premissas!$B$24-Resultados!$E$39*$B518*(Premissas!$B$14/100)</f>
        <v>29837.8</v>
      </c>
      <c r="M518" s="9" t="n">
        <f aca="false">L518-$C518</f>
        <v>29837.8</v>
      </c>
      <c r="N518" s="9" t="n">
        <f aca="false">N517+M518</f>
        <v>14911350.4600001</v>
      </c>
      <c r="O518" s="37" t="str">
        <f aca="false">IF(AND(N517&lt;0,N518&gt;=0,A518&lt;=MAX(120,Premissas!$B$15*12)),(A518-1)+(-N517)/M518,"")</f>
        <v/>
      </c>
      <c r="P518" s="9" t="n">
        <f aca="false">Resultados!$B$19*$B518-Resultados!$B$20*$B518-Premissas!$B$24-Resultados!$B$19*$B518*(Premissas!$B$14/100)</f>
        <v>24432.4</v>
      </c>
      <c r="Q518" s="9" t="n">
        <f aca="false">P518-$C518</f>
        <v>24432.4</v>
      </c>
      <c r="R518" s="9" t="n">
        <f aca="false">R517+Q518</f>
        <v>12150812.6800001</v>
      </c>
      <c r="S518" s="37" t="str">
        <f aca="false">IF(AND(R517&lt;0,R518&gt;=0,A518&lt;=MAX(120,Premissas!$B$15*12)),(A518-1)+(-R517)/Q518,"")</f>
        <v/>
      </c>
    </row>
    <row r="519" customFormat="false" ht="15" hidden="false" customHeight="false" outlineLevel="0" collapsed="false">
      <c r="A519" s="10" t="n">
        <f aca="false">A518+1</f>
        <v>515</v>
      </c>
      <c r="B519" s="36" t="n">
        <f aca="false">IF(Premissas!$B$9&lt;=1,1,MIN(1,Premissas!$B$8/100+(1-Premissas!$B$8/100)*(A519-1)/(Premissas!$B$9-1)))</f>
        <v>1</v>
      </c>
      <c r="C519" s="9" t="n">
        <f aca="false">IF(A519&lt;=Resultados!$B$9,Resultados!$B$10,0)</f>
        <v>0</v>
      </c>
      <c r="D519" s="9" t="n">
        <f aca="false">Resultados!$E$37*$B519-Resultados!$F$37*$B519-Premissas!$B$24-Resultados!$E$37*$B519*(Premissas!$B$14/100)</f>
        <v>19027</v>
      </c>
      <c r="E519" s="9" t="n">
        <f aca="false">D519-$C519</f>
        <v>19027</v>
      </c>
      <c r="F519" s="9" t="n">
        <f aca="false">F518+E519</f>
        <v>9409301.9</v>
      </c>
      <c r="G519" s="37" t="str">
        <f aca="false">IF(AND(F518&lt;0,F519&gt;=0,A519&lt;=MAX(120,Premissas!$B$15*12)),(A519-1)+(-F518)/E519,"")</f>
        <v/>
      </c>
      <c r="H519" s="9" t="n">
        <f aca="false">Resultados!$E$38*$B519-Resultados!$F$38*$B519-Premissas!$B$24-Resultados!$E$38*$B519*(Premissas!$B$14/100)</f>
        <v>24432.4</v>
      </c>
      <c r="I519" s="9" t="n">
        <f aca="false">H519-$C519</f>
        <v>24432.4</v>
      </c>
      <c r="J519" s="9" t="n">
        <f aca="false">J518+I519</f>
        <v>12175245.0800001</v>
      </c>
      <c r="K519" s="37" t="str">
        <f aca="false">IF(AND(J518&lt;0,J519&gt;=0,A519&lt;=MAX(120,Premissas!$B$15*12)),(A519-1)+(-J518)/I519,"")</f>
        <v/>
      </c>
      <c r="L519" s="9" t="n">
        <f aca="false">Resultados!$E$39*$B519-Resultados!$F$39*$B519-Premissas!$B$24-Resultados!$E$39*$B519*(Premissas!$B$14/100)</f>
        <v>29837.8</v>
      </c>
      <c r="M519" s="9" t="n">
        <f aca="false">L519-$C519</f>
        <v>29837.8</v>
      </c>
      <c r="N519" s="9" t="n">
        <f aca="false">N518+M519</f>
        <v>14941188.2600001</v>
      </c>
      <c r="O519" s="37" t="str">
        <f aca="false">IF(AND(N518&lt;0,N519&gt;=0,A519&lt;=MAX(120,Premissas!$B$15*12)),(A519-1)+(-N518)/M519,"")</f>
        <v/>
      </c>
      <c r="P519" s="9" t="n">
        <f aca="false">Resultados!$B$19*$B519-Resultados!$B$20*$B519-Premissas!$B$24-Resultados!$B$19*$B519*(Premissas!$B$14/100)</f>
        <v>24432.4</v>
      </c>
      <c r="Q519" s="9" t="n">
        <f aca="false">P519-$C519</f>
        <v>24432.4</v>
      </c>
      <c r="R519" s="9" t="n">
        <f aca="false">R518+Q519</f>
        <v>12175245.0800001</v>
      </c>
      <c r="S519" s="37" t="str">
        <f aca="false">IF(AND(R518&lt;0,R519&gt;=0,A519&lt;=MAX(120,Premissas!$B$15*12)),(A519-1)+(-R518)/Q519,"")</f>
        <v/>
      </c>
    </row>
    <row r="520" customFormat="false" ht="15" hidden="false" customHeight="false" outlineLevel="0" collapsed="false">
      <c r="A520" s="10" t="n">
        <f aca="false">A519+1</f>
        <v>516</v>
      </c>
      <c r="B520" s="36" t="n">
        <f aca="false">IF(Premissas!$B$9&lt;=1,1,MIN(1,Premissas!$B$8/100+(1-Premissas!$B$8/100)*(A520-1)/(Premissas!$B$9-1)))</f>
        <v>1</v>
      </c>
      <c r="C520" s="9" t="n">
        <f aca="false">IF(A520&lt;=Resultados!$B$9,Resultados!$B$10,0)</f>
        <v>0</v>
      </c>
      <c r="D520" s="9" t="n">
        <f aca="false">Resultados!$E$37*$B520-Resultados!$F$37*$B520-Premissas!$B$24-Resultados!$E$37*$B520*(Premissas!$B$14/100)</f>
        <v>19027</v>
      </c>
      <c r="E520" s="9" t="n">
        <f aca="false">D520-$C520</f>
        <v>19027</v>
      </c>
      <c r="F520" s="9" t="n">
        <f aca="false">F519+E520</f>
        <v>9428328.9</v>
      </c>
      <c r="G520" s="37" t="str">
        <f aca="false">IF(AND(F519&lt;0,F520&gt;=0,A520&lt;=MAX(120,Premissas!$B$15*12)),(A520-1)+(-F519)/E520,"")</f>
        <v/>
      </c>
      <c r="H520" s="9" t="n">
        <f aca="false">Resultados!$E$38*$B520-Resultados!$F$38*$B520-Premissas!$B$24-Resultados!$E$38*$B520*(Premissas!$B$14/100)</f>
        <v>24432.4</v>
      </c>
      <c r="I520" s="9" t="n">
        <f aca="false">H520-$C520</f>
        <v>24432.4</v>
      </c>
      <c r="J520" s="9" t="n">
        <f aca="false">J519+I520</f>
        <v>12199677.4800001</v>
      </c>
      <c r="K520" s="37" t="str">
        <f aca="false">IF(AND(J519&lt;0,J520&gt;=0,A520&lt;=MAX(120,Premissas!$B$15*12)),(A520-1)+(-J519)/I520,"")</f>
        <v/>
      </c>
      <c r="L520" s="9" t="n">
        <f aca="false">Resultados!$E$39*$B520-Resultados!$F$39*$B520-Premissas!$B$24-Resultados!$E$39*$B520*(Premissas!$B$14/100)</f>
        <v>29837.8</v>
      </c>
      <c r="M520" s="9" t="n">
        <f aca="false">L520-$C520</f>
        <v>29837.8</v>
      </c>
      <c r="N520" s="9" t="n">
        <f aca="false">N519+M520</f>
        <v>14971026.0600001</v>
      </c>
      <c r="O520" s="37" t="str">
        <f aca="false">IF(AND(N519&lt;0,N520&gt;=0,A520&lt;=MAX(120,Premissas!$B$15*12)),(A520-1)+(-N519)/M520,"")</f>
        <v/>
      </c>
      <c r="P520" s="9" t="n">
        <f aca="false">Resultados!$B$19*$B520-Resultados!$B$20*$B520-Premissas!$B$24-Resultados!$B$19*$B520*(Premissas!$B$14/100)</f>
        <v>24432.4</v>
      </c>
      <c r="Q520" s="9" t="n">
        <f aca="false">P520-$C520</f>
        <v>24432.4</v>
      </c>
      <c r="R520" s="9" t="n">
        <f aca="false">R519+Q520</f>
        <v>12199677.4800001</v>
      </c>
      <c r="S520" s="37" t="str">
        <f aca="false">IF(AND(R519&lt;0,R520&gt;=0,A520&lt;=MAX(120,Premissas!$B$15*12)),(A520-1)+(-R519)/Q520,"")</f>
        <v/>
      </c>
    </row>
    <row r="521" customFormat="false" ht="15" hidden="false" customHeight="false" outlineLevel="0" collapsed="false">
      <c r="A521" s="10" t="n">
        <f aca="false">A520+1</f>
        <v>517</v>
      </c>
      <c r="B521" s="36" t="n">
        <f aca="false">IF(Premissas!$B$9&lt;=1,1,MIN(1,Premissas!$B$8/100+(1-Premissas!$B$8/100)*(A521-1)/(Premissas!$B$9-1)))</f>
        <v>1</v>
      </c>
      <c r="C521" s="9" t="n">
        <f aca="false">IF(A521&lt;=Resultados!$B$9,Resultados!$B$10,0)</f>
        <v>0</v>
      </c>
      <c r="D521" s="9" t="n">
        <f aca="false">Resultados!$E$37*$B521-Resultados!$F$37*$B521-Premissas!$B$24-Resultados!$E$37*$B521*(Premissas!$B$14/100)</f>
        <v>19027</v>
      </c>
      <c r="E521" s="9" t="n">
        <f aca="false">D521-$C521</f>
        <v>19027</v>
      </c>
      <c r="F521" s="9" t="n">
        <f aca="false">F520+E521</f>
        <v>9447355.9</v>
      </c>
      <c r="G521" s="37" t="str">
        <f aca="false">IF(AND(F520&lt;0,F521&gt;=0,A521&lt;=MAX(120,Premissas!$B$15*12)),(A521-1)+(-F520)/E521,"")</f>
        <v/>
      </c>
      <c r="H521" s="9" t="n">
        <f aca="false">Resultados!$E$38*$B521-Resultados!$F$38*$B521-Premissas!$B$24-Resultados!$E$38*$B521*(Premissas!$B$14/100)</f>
        <v>24432.4</v>
      </c>
      <c r="I521" s="9" t="n">
        <f aca="false">H521-$C521</f>
        <v>24432.4</v>
      </c>
      <c r="J521" s="9" t="n">
        <f aca="false">J520+I521</f>
        <v>12224109.8800001</v>
      </c>
      <c r="K521" s="37" t="str">
        <f aca="false">IF(AND(J520&lt;0,J521&gt;=0,A521&lt;=MAX(120,Premissas!$B$15*12)),(A521-1)+(-J520)/I521,"")</f>
        <v/>
      </c>
      <c r="L521" s="9" t="n">
        <f aca="false">Resultados!$E$39*$B521-Resultados!$F$39*$B521-Premissas!$B$24-Resultados!$E$39*$B521*(Premissas!$B$14/100)</f>
        <v>29837.8</v>
      </c>
      <c r="M521" s="9" t="n">
        <f aca="false">L521-$C521</f>
        <v>29837.8</v>
      </c>
      <c r="N521" s="9" t="n">
        <f aca="false">N520+M521</f>
        <v>15000863.8600001</v>
      </c>
      <c r="O521" s="37" t="str">
        <f aca="false">IF(AND(N520&lt;0,N521&gt;=0,A521&lt;=MAX(120,Premissas!$B$15*12)),(A521-1)+(-N520)/M521,"")</f>
        <v/>
      </c>
      <c r="P521" s="9" t="n">
        <f aca="false">Resultados!$B$19*$B521-Resultados!$B$20*$B521-Premissas!$B$24-Resultados!$B$19*$B521*(Premissas!$B$14/100)</f>
        <v>24432.4</v>
      </c>
      <c r="Q521" s="9" t="n">
        <f aca="false">P521-$C521</f>
        <v>24432.4</v>
      </c>
      <c r="R521" s="9" t="n">
        <f aca="false">R520+Q521</f>
        <v>12224109.8800001</v>
      </c>
      <c r="S521" s="37" t="str">
        <f aca="false">IF(AND(R520&lt;0,R521&gt;=0,A521&lt;=MAX(120,Premissas!$B$15*12)),(A521-1)+(-R520)/Q521,"")</f>
        <v/>
      </c>
    </row>
    <row r="522" customFormat="false" ht="15" hidden="false" customHeight="false" outlineLevel="0" collapsed="false">
      <c r="A522" s="10" t="n">
        <f aca="false">A521+1</f>
        <v>518</v>
      </c>
      <c r="B522" s="36" t="n">
        <f aca="false">IF(Premissas!$B$9&lt;=1,1,MIN(1,Premissas!$B$8/100+(1-Premissas!$B$8/100)*(A522-1)/(Premissas!$B$9-1)))</f>
        <v>1</v>
      </c>
      <c r="C522" s="9" t="n">
        <f aca="false">IF(A522&lt;=Resultados!$B$9,Resultados!$B$10,0)</f>
        <v>0</v>
      </c>
      <c r="D522" s="9" t="n">
        <f aca="false">Resultados!$E$37*$B522-Resultados!$F$37*$B522-Premissas!$B$24-Resultados!$E$37*$B522*(Premissas!$B$14/100)</f>
        <v>19027</v>
      </c>
      <c r="E522" s="9" t="n">
        <f aca="false">D522-$C522</f>
        <v>19027</v>
      </c>
      <c r="F522" s="9" t="n">
        <f aca="false">F521+E522</f>
        <v>9466382.9</v>
      </c>
      <c r="G522" s="37" t="str">
        <f aca="false">IF(AND(F521&lt;0,F522&gt;=0,A522&lt;=MAX(120,Premissas!$B$15*12)),(A522-1)+(-F521)/E522,"")</f>
        <v/>
      </c>
      <c r="H522" s="9" t="n">
        <f aca="false">Resultados!$E$38*$B522-Resultados!$F$38*$B522-Premissas!$B$24-Resultados!$E$38*$B522*(Premissas!$B$14/100)</f>
        <v>24432.4</v>
      </c>
      <c r="I522" s="9" t="n">
        <f aca="false">H522-$C522</f>
        <v>24432.4</v>
      </c>
      <c r="J522" s="9" t="n">
        <f aca="false">J521+I522</f>
        <v>12248542.2800001</v>
      </c>
      <c r="K522" s="37" t="str">
        <f aca="false">IF(AND(J521&lt;0,J522&gt;=0,A522&lt;=MAX(120,Premissas!$B$15*12)),(A522-1)+(-J521)/I522,"")</f>
        <v/>
      </c>
      <c r="L522" s="9" t="n">
        <f aca="false">Resultados!$E$39*$B522-Resultados!$F$39*$B522-Premissas!$B$24-Resultados!$E$39*$B522*(Premissas!$B$14/100)</f>
        <v>29837.8</v>
      </c>
      <c r="M522" s="9" t="n">
        <f aca="false">L522-$C522</f>
        <v>29837.8</v>
      </c>
      <c r="N522" s="9" t="n">
        <f aca="false">N521+M522</f>
        <v>15030701.6600001</v>
      </c>
      <c r="O522" s="37" t="str">
        <f aca="false">IF(AND(N521&lt;0,N522&gt;=0,A522&lt;=MAX(120,Premissas!$B$15*12)),(A522-1)+(-N521)/M522,"")</f>
        <v/>
      </c>
      <c r="P522" s="9" t="n">
        <f aca="false">Resultados!$B$19*$B522-Resultados!$B$20*$B522-Premissas!$B$24-Resultados!$B$19*$B522*(Premissas!$B$14/100)</f>
        <v>24432.4</v>
      </c>
      <c r="Q522" s="9" t="n">
        <f aca="false">P522-$C522</f>
        <v>24432.4</v>
      </c>
      <c r="R522" s="9" t="n">
        <f aca="false">R521+Q522</f>
        <v>12248542.2800001</v>
      </c>
      <c r="S522" s="37" t="str">
        <f aca="false">IF(AND(R521&lt;0,R522&gt;=0,A522&lt;=MAX(120,Premissas!$B$15*12)),(A522-1)+(-R521)/Q522,"")</f>
        <v/>
      </c>
    </row>
    <row r="523" customFormat="false" ht="15" hidden="false" customHeight="false" outlineLevel="0" collapsed="false">
      <c r="A523" s="10" t="n">
        <f aca="false">A522+1</f>
        <v>519</v>
      </c>
      <c r="B523" s="36" t="n">
        <f aca="false">IF(Premissas!$B$9&lt;=1,1,MIN(1,Premissas!$B$8/100+(1-Premissas!$B$8/100)*(A523-1)/(Premissas!$B$9-1)))</f>
        <v>1</v>
      </c>
      <c r="C523" s="9" t="n">
        <f aca="false">IF(A523&lt;=Resultados!$B$9,Resultados!$B$10,0)</f>
        <v>0</v>
      </c>
      <c r="D523" s="9" t="n">
        <f aca="false">Resultados!$E$37*$B523-Resultados!$F$37*$B523-Premissas!$B$24-Resultados!$E$37*$B523*(Premissas!$B$14/100)</f>
        <v>19027</v>
      </c>
      <c r="E523" s="9" t="n">
        <f aca="false">D523-$C523</f>
        <v>19027</v>
      </c>
      <c r="F523" s="9" t="n">
        <f aca="false">F522+E523</f>
        <v>9485409.9</v>
      </c>
      <c r="G523" s="37" t="str">
        <f aca="false">IF(AND(F522&lt;0,F523&gt;=0,A523&lt;=MAX(120,Premissas!$B$15*12)),(A523-1)+(-F522)/E523,"")</f>
        <v/>
      </c>
      <c r="H523" s="9" t="n">
        <f aca="false">Resultados!$E$38*$B523-Resultados!$F$38*$B523-Premissas!$B$24-Resultados!$E$38*$B523*(Premissas!$B$14/100)</f>
        <v>24432.4</v>
      </c>
      <c r="I523" s="9" t="n">
        <f aca="false">H523-$C523</f>
        <v>24432.4</v>
      </c>
      <c r="J523" s="9" t="n">
        <f aca="false">J522+I523</f>
        <v>12272974.6800001</v>
      </c>
      <c r="K523" s="37" t="str">
        <f aca="false">IF(AND(J522&lt;0,J523&gt;=0,A523&lt;=MAX(120,Premissas!$B$15*12)),(A523-1)+(-J522)/I523,"")</f>
        <v/>
      </c>
      <c r="L523" s="9" t="n">
        <f aca="false">Resultados!$E$39*$B523-Resultados!$F$39*$B523-Premissas!$B$24-Resultados!$E$39*$B523*(Premissas!$B$14/100)</f>
        <v>29837.8</v>
      </c>
      <c r="M523" s="9" t="n">
        <f aca="false">L523-$C523</f>
        <v>29837.8</v>
      </c>
      <c r="N523" s="9" t="n">
        <f aca="false">N522+M523</f>
        <v>15060539.4600001</v>
      </c>
      <c r="O523" s="37" t="str">
        <f aca="false">IF(AND(N522&lt;0,N523&gt;=0,A523&lt;=MAX(120,Premissas!$B$15*12)),(A523-1)+(-N522)/M523,"")</f>
        <v/>
      </c>
      <c r="P523" s="9" t="n">
        <f aca="false">Resultados!$B$19*$B523-Resultados!$B$20*$B523-Premissas!$B$24-Resultados!$B$19*$B523*(Premissas!$B$14/100)</f>
        <v>24432.4</v>
      </c>
      <c r="Q523" s="9" t="n">
        <f aca="false">P523-$C523</f>
        <v>24432.4</v>
      </c>
      <c r="R523" s="9" t="n">
        <f aca="false">R522+Q523</f>
        <v>12272974.6800001</v>
      </c>
      <c r="S523" s="37" t="str">
        <f aca="false">IF(AND(R522&lt;0,R523&gt;=0,A523&lt;=MAX(120,Premissas!$B$15*12)),(A523-1)+(-R522)/Q523,"")</f>
        <v/>
      </c>
    </row>
    <row r="524" customFormat="false" ht="15" hidden="false" customHeight="false" outlineLevel="0" collapsed="false">
      <c r="A524" s="10" t="n">
        <f aca="false">A523+1</f>
        <v>520</v>
      </c>
      <c r="B524" s="36" t="n">
        <f aca="false">IF(Premissas!$B$9&lt;=1,1,MIN(1,Premissas!$B$8/100+(1-Premissas!$B$8/100)*(A524-1)/(Premissas!$B$9-1)))</f>
        <v>1</v>
      </c>
      <c r="C524" s="9" t="n">
        <f aca="false">IF(A524&lt;=Resultados!$B$9,Resultados!$B$10,0)</f>
        <v>0</v>
      </c>
      <c r="D524" s="9" t="n">
        <f aca="false">Resultados!$E$37*$B524-Resultados!$F$37*$B524-Premissas!$B$24-Resultados!$E$37*$B524*(Premissas!$B$14/100)</f>
        <v>19027</v>
      </c>
      <c r="E524" s="9" t="n">
        <f aca="false">D524-$C524</f>
        <v>19027</v>
      </c>
      <c r="F524" s="9" t="n">
        <f aca="false">F523+E524</f>
        <v>9504436.9</v>
      </c>
      <c r="G524" s="37" t="str">
        <f aca="false">IF(AND(F523&lt;0,F524&gt;=0,A524&lt;=MAX(120,Premissas!$B$15*12)),(A524-1)+(-F523)/E524,"")</f>
        <v/>
      </c>
      <c r="H524" s="9" t="n">
        <f aca="false">Resultados!$E$38*$B524-Resultados!$F$38*$B524-Premissas!$B$24-Resultados!$E$38*$B524*(Premissas!$B$14/100)</f>
        <v>24432.4</v>
      </c>
      <c r="I524" s="9" t="n">
        <f aca="false">H524-$C524</f>
        <v>24432.4</v>
      </c>
      <c r="J524" s="9" t="n">
        <f aca="false">J523+I524</f>
        <v>12297407.0800001</v>
      </c>
      <c r="K524" s="37" t="str">
        <f aca="false">IF(AND(J523&lt;0,J524&gt;=0,A524&lt;=MAX(120,Premissas!$B$15*12)),(A524-1)+(-J523)/I524,"")</f>
        <v/>
      </c>
      <c r="L524" s="9" t="n">
        <f aca="false">Resultados!$E$39*$B524-Resultados!$F$39*$B524-Premissas!$B$24-Resultados!$E$39*$B524*(Premissas!$B$14/100)</f>
        <v>29837.8</v>
      </c>
      <c r="M524" s="9" t="n">
        <f aca="false">L524-$C524</f>
        <v>29837.8</v>
      </c>
      <c r="N524" s="9" t="n">
        <f aca="false">N523+M524</f>
        <v>15090377.2600001</v>
      </c>
      <c r="O524" s="37" t="str">
        <f aca="false">IF(AND(N523&lt;0,N524&gt;=0,A524&lt;=MAX(120,Premissas!$B$15*12)),(A524-1)+(-N523)/M524,"")</f>
        <v/>
      </c>
      <c r="P524" s="9" t="n">
        <f aca="false">Resultados!$B$19*$B524-Resultados!$B$20*$B524-Premissas!$B$24-Resultados!$B$19*$B524*(Premissas!$B$14/100)</f>
        <v>24432.4</v>
      </c>
      <c r="Q524" s="9" t="n">
        <f aca="false">P524-$C524</f>
        <v>24432.4</v>
      </c>
      <c r="R524" s="9" t="n">
        <f aca="false">R523+Q524</f>
        <v>12297407.0800001</v>
      </c>
      <c r="S524" s="37" t="str">
        <f aca="false">IF(AND(R523&lt;0,R524&gt;=0,A524&lt;=MAX(120,Premissas!$B$15*12)),(A524-1)+(-R523)/Q524,"")</f>
        <v/>
      </c>
    </row>
    <row r="525" customFormat="false" ht="15" hidden="false" customHeight="false" outlineLevel="0" collapsed="false">
      <c r="A525" s="10" t="n">
        <f aca="false">A524+1</f>
        <v>521</v>
      </c>
      <c r="B525" s="36" t="n">
        <f aca="false">IF(Premissas!$B$9&lt;=1,1,MIN(1,Premissas!$B$8/100+(1-Premissas!$B$8/100)*(A525-1)/(Premissas!$B$9-1)))</f>
        <v>1</v>
      </c>
      <c r="C525" s="9" t="n">
        <f aca="false">IF(A525&lt;=Resultados!$B$9,Resultados!$B$10,0)</f>
        <v>0</v>
      </c>
      <c r="D525" s="9" t="n">
        <f aca="false">Resultados!$E$37*$B525-Resultados!$F$37*$B525-Premissas!$B$24-Resultados!$E$37*$B525*(Premissas!$B$14/100)</f>
        <v>19027</v>
      </c>
      <c r="E525" s="9" t="n">
        <f aca="false">D525-$C525</f>
        <v>19027</v>
      </c>
      <c r="F525" s="9" t="n">
        <f aca="false">F524+E525</f>
        <v>9523463.9</v>
      </c>
      <c r="G525" s="37" t="str">
        <f aca="false">IF(AND(F524&lt;0,F525&gt;=0,A525&lt;=MAX(120,Premissas!$B$15*12)),(A525-1)+(-F524)/E525,"")</f>
        <v/>
      </c>
      <c r="H525" s="9" t="n">
        <f aca="false">Resultados!$E$38*$B525-Resultados!$F$38*$B525-Premissas!$B$24-Resultados!$E$38*$B525*(Premissas!$B$14/100)</f>
        <v>24432.4</v>
      </c>
      <c r="I525" s="9" t="n">
        <f aca="false">H525-$C525</f>
        <v>24432.4</v>
      </c>
      <c r="J525" s="9" t="n">
        <f aca="false">J524+I525</f>
        <v>12321839.4800001</v>
      </c>
      <c r="K525" s="37" t="str">
        <f aca="false">IF(AND(J524&lt;0,J525&gt;=0,A525&lt;=MAX(120,Premissas!$B$15*12)),(A525-1)+(-J524)/I525,"")</f>
        <v/>
      </c>
      <c r="L525" s="9" t="n">
        <f aca="false">Resultados!$E$39*$B525-Resultados!$F$39*$B525-Premissas!$B$24-Resultados!$E$39*$B525*(Premissas!$B$14/100)</f>
        <v>29837.8</v>
      </c>
      <c r="M525" s="9" t="n">
        <f aca="false">L525-$C525</f>
        <v>29837.8</v>
      </c>
      <c r="N525" s="9" t="n">
        <f aca="false">N524+M525</f>
        <v>15120215.0600001</v>
      </c>
      <c r="O525" s="37" t="str">
        <f aca="false">IF(AND(N524&lt;0,N525&gt;=0,A525&lt;=MAX(120,Premissas!$B$15*12)),(A525-1)+(-N524)/M525,"")</f>
        <v/>
      </c>
      <c r="P525" s="9" t="n">
        <f aca="false">Resultados!$B$19*$B525-Resultados!$B$20*$B525-Premissas!$B$24-Resultados!$B$19*$B525*(Premissas!$B$14/100)</f>
        <v>24432.4</v>
      </c>
      <c r="Q525" s="9" t="n">
        <f aca="false">P525-$C525</f>
        <v>24432.4</v>
      </c>
      <c r="R525" s="9" t="n">
        <f aca="false">R524+Q525</f>
        <v>12321839.4800001</v>
      </c>
      <c r="S525" s="37" t="str">
        <f aca="false">IF(AND(R524&lt;0,R525&gt;=0,A525&lt;=MAX(120,Premissas!$B$15*12)),(A525-1)+(-R524)/Q525,"")</f>
        <v/>
      </c>
    </row>
    <row r="526" customFormat="false" ht="15" hidden="false" customHeight="false" outlineLevel="0" collapsed="false">
      <c r="A526" s="10" t="n">
        <f aca="false">A525+1</f>
        <v>522</v>
      </c>
      <c r="B526" s="36" t="n">
        <f aca="false">IF(Premissas!$B$9&lt;=1,1,MIN(1,Premissas!$B$8/100+(1-Premissas!$B$8/100)*(A526-1)/(Premissas!$B$9-1)))</f>
        <v>1</v>
      </c>
      <c r="C526" s="9" t="n">
        <f aca="false">IF(A526&lt;=Resultados!$B$9,Resultados!$B$10,0)</f>
        <v>0</v>
      </c>
      <c r="D526" s="9" t="n">
        <f aca="false">Resultados!$E$37*$B526-Resultados!$F$37*$B526-Premissas!$B$24-Resultados!$E$37*$B526*(Premissas!$B$14/100)</f>
        <v>19027</v>
      </c>
      <c r="E526" s="9" t="n">
        <f aca="false">D526-$C526</f>
        <v>19027</v>
      </c>
      <c r="F526" s="9" t="n">
        <f aca="false">F525+E526</f>
        <v>9542490.9</v>
      </c>
      <c r="G526" s="37" t="str">
        <f aca="false">IF(AND(F525&lt;0,F526&gt;=0,A526&lt;=MAX(120,Premissas!$B$15*12)),(A526-1)+(-F525)/E526,"")</f>
        <v/>
      </c>
      <c r="H526" s="9" t="n">
        <f aca="false">Resultados!$E$38*$B526-Resultados!$F$38*$B526-Premissas!$B$24-Resultados!$E$38*$B526*(Premissas!$B$14/100)</f>
        <v>24432.4</v>
      </c>
      <c r="I526" s="9" t="n">
        <f aca="false">H526-$C526</f>
        <v>24432.4</v>
      </c>
      <c r="J526" s="9" t="n">
        <f aca="false">J525+I526</f>
        <v>12346271.8800001</v>
      </c>
      <c r="K526" s="37" t="str">
        <f aca="false">IF(AND(J525&lt;0,J526&gt;=0,A526&lt;=MAX(120,Premissas!$B$15*12)),(A526-1)+(-J525)/I526,"")</f>
        <v/>
      </c>
      <c r="L526" s="9" t="n">
        <f aca="false">Resultados!$E$39*$B526-Resultados!$F$39*$B526-Premissas!$B$24-Resultados!$E$39*$B526*(Premissas!$B$14/100)</f>
        <v>29837.8</v>
      </c>
      <c r="M526" s="9" t="n">
        <f aca="false">L526-$C526</f>
        <v>29837.8</v>
      </c>
      <c r="N526" s="9" t="n">
        <f aca="false">N525+M526</f>
        <v>15150052.8600001</v>
      </c>
      <c r="O526" s="37" t="str">
        <f aca="false">IF(AND(N525&lt;0,N526&gt;=0,A526&lt;=MAX(120,Premissas!$B$15*12)),(A526-1)+(-N525)/M526,"")</f>
        <v/>
      </c>
      <c r="P526" s="9" t="n">
        <f aca="false">Resultados!$B$19*$B526-Resultados!$B$20*$B526-Premissas!$B$24-Resultados!$B$19*$B526*(Premissas!$B$14/100)</f>
        <v>24432.4</v>
      </c>
      <c r="Q526" s="9" t="n">
        <f aca="false">P526-$C526</f>
        <v>24432.4</v>
      </c>
      <c r="R526" s="9" t="n">
        <f aca="false">R525+Q526</f>
        <v>12346271.8800001</v>
      </c>
      <c r="S526" s="37" t="str">
        <f aca="false">IF(AND(R525&lt;0,R526&gt;=0,A526&lt;=MAX(120,Premissas!$B$15*12)),(A526-1)+(-R525)/Q526,"")</f>
        <v/>
      </c>
    </row>
    <row r="527" customFormat="false" ht="15" hidden="false" customHeight="false" outlineLevel="0" collapsed="false">
      <c r="A527" s="10" t="n">
        <f aca="false">A526+1</f>
        <v>523</v>
      </c>
      <c r="B527" s="36" t="n">
        <f aca="false">IF(Premissas!$B$9&lt;=1,1,MIN(1,Premissas!$B$8/100+(1-Premissas!$B$8/100)*(A527-1)/(Premissas!$B$9-1)))</f>
        <v>1</v>
      </c>
      <c r="C527" s="9" t="n">
        <f aca="false">IF(A527&lt;=Resultados!$B$9,Resultados!$B$10,0)</f>
        <v>0</v>
      </c>
      <c r="D527" s="9" t="n">
        <f aca="false">Resultados!$E$37*$B527-Resultados!$F$37*$B527-Premissas!$B$24-Resultados!$E$37*$B527*(Premissas!$B$14/100)</f>
        <v>19027</v>
      </c>
      <c r="E527" s="9" t="n">
        <f aca="false">D527-$C527</f>
        <v>19027</v>
      </c>
      <c r="F527" s="9" t="n">
        <f aca="false">F526+E527</f>
        <v>9561517.9</v>
      </c>
      <c r="G527" s="37" t="str">
        <f aca="false">IF(AND(F526&lt;0,F527&gt;=0,A527&lt;=MAX(120,Premissas!$B$15*12)),(A527-1)+(-F526)/E527,"")</f>
        <v/>
      </c>
      <c r="H527" s="9" t="n">
        <f aca="false">Resultados!$E$38*$B527-Resultados!$F$38*$B527-Premissas!$B$24-Resultados!$E$38*$B527*(Premissas!$B$14/100)</f>
        <v>24432.4</v>
      </c>
      <c r="I527" s="9" t="n">
        <f aca="false">H527-$C527</f>
        <v>24432.4</v>
      </c>
      <c r="J527" s="9" t="n">
        <f aca="false">J526+I527</f>
        <v>12370704.2800001</v>
      </c>
      <c r="K527" s="37" t="str">
        <f aca="false">IF(AND(J526&lt;0,J527&gt;=0,A527&lt;=MAX(120,Premissas!$B$15*12)),(A527-1)+(-J526)/I527,"")</f>
        <v/>
      </c>
      <c r="L527" s="9" t="n">
        <f aca="false">Resultados!$E$39*$B527-Resultados!$F$39*$B527-Premissas!$B$24-Resultados!$E$39*$B527*(Premissas!$B$14/100)</f>
        <v>29837.8</v>
      </c>
      <c r="M527" s="9" t="n">
        <f aca="false">L527-$C527</f>
        <v>29837.8</v>
      </c>
      <c r="N527" s="9" t="n">
        <f aca="false">N526+M527</f>
        <v>15179890.6600001</v>
      </c>
      <c r="O527" s="37" t="str">
        <f aca="false">IF(AND(N526&lt;0,N527&gt;=0,A527&lt;=MAX(120,Premissas!$B$15*12)),(A527-1)+(-N526)/M527,"")</f>
        <v/>
      </c>
      <c r="P527" s="9" t="n">
        <f aca="false">Resultados!$B$19*$B527-Resultados!$B$20*$B527-Premissas!$B$24-Resultados!$B$19*$B527*(Premissas!$B$14/100)</f>
        <v>24432.4</v>
      </c>
      <c r="Q527" s="9" t="n">
        <f aca="false">P527-$C527</f>
        <v>24432.4</v>
      </c>
      <c r="R527" s="9" t="n">
        <f aca="false">R526+Q527</f>
        <v>12370704.2800001</v>
      </c>
      <c r="S527" s="37" t="str">
        <f aca="false">IF(AND(R526&lt;0,R527&gt;=0,A527&lt;=MAX(120,Premissas!$B$15*12)),(A527-1)+(-R526)/Q527,"")</f>
        <v/>
      </c>
    </row>
    <row r="528" customFormat="false" ht="15" hidden="false" customHeight="false" outlineLevel="0" collapsed="false">
      <c r="A528" s="10" t="n">
        <f aca="false">A527+1</f>
        <v>524</v>
      </c>
      <c r="B528" s="36" t="n">
        <f aca="false">IF(Premissas!$B$9&lt;=1,1,MIN(1,Premissas!$B$8/100+(1-Premissas!$B$8/100)*(A528-1)/(Premissas!$B$9-1)))</f>
        <v>1</v>
      </c>
      <c r="C528" s="9" t="n">
        <f aca="false">IF(A528&lt;=Resultados!$B$9,Resultados!$B$10,0)</f>
        <v>0</v>
      </c>
      <c r="D528" s="9" t="n">
        <f aca="false">Resultados!$E$37*$B528-Resultados!$F$37*$B528-Premissas!$B$24-Resultados!$E$37*$B528*(Premissas!$B$14/100)</f>
        <v>19027</v>
      </c>
      <c r="E528" s="9" t="n">
        <f aca="false">D528-$C528</f>
        <v>19027</v>
      </c>
      <c r="F528" s="9" t="n">
        <f aca="false">F527+E528</f>
        <v>9580544.9</v>
      </c>
      <c r="G528" s="37" t="str">
        <f aca="false">IF(AND(F527&lt;0,F528&gt;=0,A528&lt;=MAX(120,Premissas!$B$15*12)),(A528-1)+(-F527)/E528,"")</f>
        <v/>
      </c>
      <c r="H528" s="9" t="n">
        <f aca="false">Resultados!$E$38*$B528-Resultados!$F$38*$B528-Premissas!$B$24-Resultados!$E$38*$B528*(Premissas!$B$14/100)</f>
        <v>24432.4</v>
      </c>
      <c r="I528" s="9" t="n">
        <f aca="false">H528-$C528</f>
        <v>24432.4</v>
      </c>
      <c r="J528" s="9" t="n">
        <f aca="false">J527+I528</f>
        <v>12395136.6800001</v>
      </c>
      <c r="K528" s="37" t="str">
        <f aca="false">IF(AND(J527&lt;0,J528&gt;=0,A528&lt;=MAX(120,Premissas!$B$15*12)),(A528-1)+(-J527)/I528,"")</f>
        <v/>
      </c>
      <c r="L528" s="9" t="n">
        <f aca="false">Resultados!$E$39*$B528-Resultados!$F$39*$B528-Premissas!$B$24-Resultados!$E$39*$B528*(Premissas!$B$14/100)</f>
        <v>29837.8</v>
      </c>
      <c r="M528" s="9" t="n">
        <f aca="false">L528-$C528</f>
        <v>29837.8</v>
      </c>
      <c r="N528" s="9" t="n">
        <f aca="false">N527+M528</f>
        <v>15209728.4600001</v>
      </c>
      <c r="O528" s="37" t="str">
        <f aca="false">IF(AND(N527&lt;0,N528&gt;=0,A528&lt;=MAX(120,Premissas!$B$15*12)),(A528-1)+(-N527)/M528,"")</f>
        <v/>
      </c>
      <c r="P528" s="9" t="n">
        <f aca="false">Resultados!$B$19*$B528-Resultados!$B$20*$B528-Premissas!$B$24-Resultados!$B$19*$B528*(Premissas!$B$14/100)</f>
        <v>24432.4</v>
      </c>
      <c r="Q528" s="9" t="n">
        <f aca="false">P528-$C528</f>
        <v>24432.4</v>
      </c>
      <c r="R528" s="9" t="n">
        <f aca="false">R527+Q528</f>
        <v>12395136.6800001</v>
      </c>
      <c r="S528" s="37" t="str">
        <f aca="false">IF(AND(R527&lt;0,R528&gt;=0,A528&lt;=MAX(120,Premissas!$B$15*12)),(A528-1)+(-R527)/Q528,"")</f>
        <v/>
      </c>
    </row>
    <row r="529" customFormat="false" ht="15" hidden="false" customHeight="false" outlineLevel="0" collapsed="false">
      <c r="A529" s="10" t="n">
        <f aca="false">A528+1</f>
        <v>525</v>
      </c>
      <c r="B529" s="36" t="n">
        <f aca="false">IF(Premissas!$B$9&lt;=1,1,MIN(1,Premissas!$B$8/100+(1-Premissas!$B$8/100)*(A529-1)/(Premissas!$B$9-1)))</f>
        <v>1</v>
      </c>
      <c r="C529" s="9" t="n">
        <f aca="false">IF(A529&lt;=Resultados!$B$9,Resultados!$B$10,0)</f>
        <v>0</v>
      </c>
      <c r="D529" s="9" t="n">
        <f aca="false">Resultados!$E$37*$B529-Resultados!$F$37*$B529-Premissas!$B$24-Resultados!$E$37*$B529*(Premissas!$B$14/100)</f>
        <v>19027</v>
      </c>
      <c r="E529" s="9" t="n">
        <f aca="false">D529-$C529</f>
        <v>19027</v>
      </c>
      <c r="F529" s="9" t="n">
        <f aca="false">F528+E529</f>
        <v>9599571.9</v>
      </c>
      <c r="G529" s="37" t="str">
        <f aca="false">IF(AND(F528&lt;0,F529&gt;=0,A529&lt;=MAX(120,Premissas!$B$15*12)),(A529-1)+(-F528)/E529,"")</f>
        <v/>
      </c>
      <c r="H529" s="9" t="n">
        <f aca="false">Resultados!$E$38*$B529-Resultados!$F$38*$B529-Premissas!$B$24-Resultados!$E$38*$B529*(Premissas!$B$14/100)</f>
        <v>24432.4</v>
      </c>
      <c r="I529" s="9" t="n">
        <f aca="false">H529-$C529</f>
        <v>24432.4</v>
      </c>
      <c r="J529" s="9" t="n">
        <f aca="false">J528+I529</f>
        <v>12419569.0800001</v>
      </c>
      <c r="K529" s="37" t="str">
        <f aca="false">IF(AND(J528&lt;0,J529&gt;=0,A529&lt;=MAX(120,Premissas!$B$15*12)),(A529-1)+(-J528)/I529,"")</f>
        <v/>
      </c>
      <c r="L529" s="9" t="n">
        <f aca="false">Resultados!$E$39*$B529-Resultados!$F$39*$B529-Premissas!$B$24-Resultados!$E$39*$B529*(Premissas!$B$14/100)</f>
        <v>29837.8</v>
      </c>
      <c r="M529" s="9" t="n">
        <f aca="false">L529-$C529</f>
        <v>29837.8</v>
      </c>
      <c r="N529" s="9" t="n">
        <f aca="false">N528+M529</f>
        <v>15239566.2600001</v>
      </c>
      <c r="O529" s="37" t="str">
        <f aca="false">IF(AND(N528&lt;0,N529&gt;=0,A529&lt;=MAX(120,Premissas!$B$15*12)),(A529-1)+(-N528)/M529,"")</f>
        <v/>
      </c>
      <c r="P529" s="9" t="n">
        <f aca="false">Resultados!$B$19*$B529-Resultados!$B$20*$B529-Premissas!$B$24-Resultados!$B$19*$B529*(Premissas!$B$14/100)</f>
        <v>24432.4</v>
      </c>
      <c r="Q529" s="9" t="n">
        <f aca="false">P529-$C529</f>
        <v>24432.4</v>
      </c>
      <c r="R529" s="9" t="n">
        <f aca="false">R528+Q529</f>
        <v>12419569.0800001</v>
      </c>
      <c r="S529" s="37" t="str">
        <f aca="false">IF(AND(R528&lt;0,R529&gt;=0,A529&lt;=MAX(120,Premissas!$B$15*12)),(A529-1)+(-R528)/Q529,"")</f>
        <v/>
      </c>
    </row>
    <row r="530" customFormat="false" ht="15" hidden="false" customHeight="false" outlineLevel="0" collapsed="false">
      <c r="A530" s="10" t="n">
        <f aca="false">A529+1</f>
        <v>526</v>
      </c>
      <c r="B530" s="36" t="n">
        <f aca="false">IF(Premissas!$B$9&lt;=1,1,MIN(1,Premissas!$B$8/100+(1-Premissas!$B$8/100)*(A530-1)/(Premissas!$B$9-1)))</f>
        <v>1</v>
      </c>
      <c r="C530" s="9" t="n">
        <f aca="false">IF(A530&lt;=Resultados!$B$9,Resultados!$B$10,0)</f>
        <v>0</v>
      </c>
      <c r="D530" s="9" t="n">
        <f aca="false">Resultados!$E$37*$B530-Resultados!$F$37*$B530-Premissas!$B$24-Resultados!$E$37*$B530*(Premissas!$B$14/100)</f>
        <v>19027</v>
      </c>
      <c r="E530" s="9" t="n">
        <f aca="false">D530-$C530</f>
        <v>19027</v>
      </c>
      <c r="F530" s="9" t="n">
        <f aca="false">F529+E530</f>
        <v>9618598.9</v>
      </c>
      <c r="G530" s="37" t="str">
        <f aca="false">IF(AND(F529&lt;0,F530&gt;=0,A530&lt;=MAX(120,Premissas!$B$15*12)),(A530-1)+(-F529)/E530,"")</f>
        <v/>
      </c>
      <c r="H530" s="9" t="n">
        <f aca="false">Resultados!$E$38*$B530-Resultados!$F$38*$B530-Premissas!$B$24-Resultados!$E$38*$B530*(Premissas!$B$14/100)</f>
        <v>24432.4</v>
      </c>
      <c r="I530" s="9" t="n">
        <f aca="false">H530-$C530</f>
        <v>24432.4</v>
      </c>
      <c r="J530" s="9" t="n">
        <f aca="false">J529+I530</f>
        <v>12444001.4800001</v>
      </c>
      <c r="K530" s="37" t="str">
        <f aca="false">IF(AND(J529&lt;0,J530&gt;=0,A530&lt;=MAX(120,Premissas!$B$15*12)),(A530-1)+(-J529)/I530,"")</f>
        <v/>
      </c>
      <c r="L530" s="9" t="n">
        <f aca="false">Resultados!$E$39*$B530-Resultados!$F$39*$B530-Premissas!$B$24-Resultados!$E$39*$B530*(Premissas!$B$14/100)</f>
        <v>29837.8</v>
      </c>
      <c r="M530" s="9" t="n">
        <f aca="false">L530-$C530</f>
        <v>29837.8</v>
      </c>
      <c r="N530" s="9" t="n">
        <f aca="false">N529+M530</f>
        <v>15269404.0600001</v>
      </c>
      <c r="O530" s="37" t="str">
        <f aca="false">IF(AND(N529&lt;0,N530&gt;=0,A530&lt;=MAX(120,Premissas!$B$15*12)),(A530-1)+(-N529)/M530,"")</f>
        <v/>
      </c>
      <c r="P530" s="9" t="n">
        <f aca="false">Resultados!$B$19*$B530-Resultados!$B$20*$B530-Premissas!$B$24-Resultados!$B$19*$B530*(Premissas!$B$14/100)</f>
        <v>24432.4</v>
      </c>
      <c r="Q530" s="9" t="n">
        <f aca="false">P530-$C530</f>
        <v>24432.4</v>
      </c>
      <c r="R530" s="9" t="n">
        <f aca="false">R529+Q530</f>
        <v>12444001.4800001</v>
      </c>
      <c r="S530" s="37" t="str">
        <f aca="false">IF(AND(R529&lt;0,R530&gt;=0,A530&lt;=MAX(120,Premissas!$B$15*12)),(A530-1)+(-R529)/Q530,"")</f>
        <v/>
      </c>
    </row>
    <row r="531" customFormat="false" ht="15" hidden="false" customHeight="false" outlineLevel="0" collapsed="false">
      <c r="A531" s="10" t="n">
        <f aca="false">A530+1</f>
        <v>527</v>
      </c>
      <c r="B531" s="36" t="n">
        <f aca="false">IF(Premissas!$B$9&lt;=1,1,MIN(1,Premissas!$B$8/100+(1-Premissas!$B$8/100)*(A531-1)/(Premissas!$B$9-1)))</f>
        <v>1</v>
      </c>
      <c r="C531" s="9" t="n">
        <f aca="false">IF(A531&lt;=Resultados!$B$9,Resultados!$B$10,0)</f>
        <v>0</v>
      </c>
      <c r="D531" s="9" t="n">
        <f aca="false">Resultados!$E$37*$B531-Resultados!$F$37*$B531-Premissas!$B$24-Resultados!$E$37*$B531*(Premissas!$B$14/100)</f>
        <v>19027</v>
      </c>
      <c r="E531" s="9" t="n">
        <f aca="false">D531-$C531</f>
        <v>19027</v>
      </c>
      <c r="F531" s="9" t="n">
        <f aca="false">F530+E531</f>
        <v>9637625.9</v>
      </c>
      <c r="G531" s="37" t="str">
        <f aca="false">IF(AND(F530&lt;0,F531&gt;=0,A531&lt;=MAX(120,Premissas!$B$15*12)),(A531-1)+(-F530)/E531,"")</f>
        <v/>
      </c>
      <c r="H531" s="9" t="n">
        <f aca="false">Resultados!$E$38*$B531-Resultados!$F$38*$B531-Premissas!$B$24-Resultados!$E$38*$B531*(Premissas!$B$14/100)</f>
        <v>24432.4</v>
      </c>
      <c r="I531" s="9" t="n">
        <f aca="false">H531-$C531</f>
        <v>24432.4</v>
      </c>
      <c r="J531" s="9" t="n">
        <f aca="false">J530+I531</f>
        <v>12468433.8800001</v>
      </c>
      <c r="K531" s="37" t="str">
        <f aca="false">IF(AND(J530&lt;0,J531&gt;=0,A531&lt;=MAX(120,Premissas!$B$15*12)),(A531-1)+(-J530)/I531,"")</f>
        <v/>
      </c>
      <c r="L531" s="9" t="n">
        <f aca="false">Resultados!$E$39*$B531-Resultados!$F$39*$B531-Premissas!$B$24-Resultados!$E$39*$B531*(Premissas!$B$14/100)</f>
        <v>29837.8</v>
      </c>
      <c r="M531" s="9" t="n">
        <f aca="false">L531-$C531</f>
        <v>29837.8</v>
      </c>
      <c r="N531" s="9" t="n">
        <f aca="false">N530+M531</f>
        <v>15299241.8600001</v>
      </c>
      <c r="O531" s="37" t="str">
        <f aca="false">IF(AND(N530&lt;0,N531&gt;=0,A531&lt;=MAX(120,Premissas!$B$15*12)),(A531-1)+(-N530)/M531,"")</f>
        <v/>
      </c>
      <c r="P531" s="9" t="n">
        <f aca="false">Resultados!$B$19*$B531-Resultados!$B$20*$B531-Premissas!$B$24-Resultados!$B$19*$B531*(Premissas!$B$14/100)</f>
        <v>24432.4</v>
      </c>
      <c r="Q531" s="9" t="n">
        <f aca="false">P531-$C531</f>
        <v>24432.4</v>
      </c>
      <c r="R531" s="9" t="n">
        <f aca="false">R530+Q531</f>
        <v>12468433.8800001</v>
      </c>
      <c r="S531" s="37" t="str">
        <f aca="false">IF(AND(R530&lt;0,R531&gt;=0,A531&lt;=MAX(120,Premissas!$B$15*12)),(A531-1)+(-R530)/Q531,"")</f>
        <v/>
      </c>
    </row>
    <row r="532" customFormat="false" ht="15" hidden="false" customHeight="false" outlineLevel="0" collapsed="false">
      <c r="A532" s="10" t="n">
        <f aca="false">A531+1</f>
        <v>528</v>
      </c>
      <c r="B532" s="36" t="n">
        <f aca="false">IF(Premissas!$B$9&lt;=1,1,MIN(1,Premissas!$B$8/100+(1-Premissas!$B$8/100)*(A532-1)/(Premissas!$B$9-1)))</f>
        <v>1</v>
      </c>
      <c r="C532" s="9" t="n">
        <f aca="false">IF(A532&lt;=Resultados!$B$9,Resultados!$B$10,0)</f>
        <v>0</v>
      </c>
      <c r="D532" s="9" t="n">
        <f aca="false">Resultados!$E$37*$B532-Resultados!$F$37*$B532-Premissas!$B$24-Resultados!$E$37*$B532*(Premissas!$B$14/100)</f>
        <v>19027</v>
      </c>
      <c r="E532" s="9" t="n">
        <f aca="false">D532-$C532</f>
        <v>19027</v>
      </c>
      <c r="F532" s="9" t="n">
        <f aca="false">F531+E532</f>
        <v>9656652.9</v>
      </c>
      <c r="G532" s="37" t="str">
        <f aca="false">IF(AND(F531&lt;0,F532&gt;=0,A532&lt;=MAX(120,Premissas!$B$15*12)),(A532-1)+(-F531)/E532,"")</f>
        <v/>
      </c>
      <c r="H532" s="9" t="n">
        <f aca="false">Resultados!$E$38*$B532-Resultados!$F$38*$B532-Premissas!$B$24-Resultados!$E$38*$B532*(Premissas!$B$14/100)</f>
        <v>24432.4</v>
      </c>
      <c r="I532" s="9" t="n">
        <f aca="false">H532-$C532</f>
        <v>24432.4</v>
      </c>
      <c r="J532" s="9" t="n">
        <f aca="false">J531+I532</f>
        <v>12492866.2800001</v>
      </c>
      <c r="K532" s="37" t="str">
        <f aca="false">IF(AND(J531&lt;0,J532&gt;=0,A532&lt;=MAX(120,Premissas!$B$15*12)),(A532-1)+(-J531)/I532,"")</f>
        <v/>
      </c>
      <c r="L532" s="9" t="n">
        <f aca="false">Resultados!$E$39*$B532-Resultados!$F$39*$B532-Premissas!$B$24-Resultados!$E$39*$B532*(Premissas!$B$14/100)</f>
        <v>29837.8</v>
      </c>
      <c r="M532" s="9" t="n">
        <f aca="false">L532-$C532</f>
        <v>29837.8</v>
      </c>
      <c r="N532" s="9" t="n">
        <f aca="false">N531+M532</f>
        <v>15329079.6600001</v>
      </c>
      <c r="O532" s="37" t="str">
        <f aca="false">IF(AND(N531&lt;0,N532&gt;=0,A532&lt;=MAX(120,Premissas!$B$15*12)),(A532-1)+(-N531)/M532,"")</f>
        <v/>
      </c>
      <c r="P532" s="9" t="n">
        <f aca="false">Resultados!$B$19*$B532-Resultados!$B$20*$B532-Premissas!$B$24-Resultados!$B$19*$B532*(Premissas!$B$14/100)</f>
        <v>24432.4</v>
      </c>
      <c r="Q532" s="9" t="n">
        <f aca="false">P532-$C532</f>
        <v>24432.4</v>
      </c>
      <c r="R532" s="9" t="n">
        <f aca="false">R531+Q532</f>
        <v>12492866.2800001</v>
      </c>
      <c r="S532" s="37" t="str">
        <f aca="false">IF(AND(R531&lt;0,R532&gt;=0,A532&lt;=MAX(120,Premissas!$B$15*12)),(A532-1)+(-R531)/Q532,"")</f>
        <v/>
      </c>
    </row>
    <row r="533" customFormat="false" ht="15" hidden="false" customHeight="false" outlineLevel="0" collapsed="false">
      <c r="A533" s="10" t="n">
        <f aca="false">A532+1</f>
        <v>529</v>
      </c>
      <c r="B533" s="36" t="n">
        <f aca="false">IF(Premissas!$B$9&lt;=1,1,MIN(1,Premissas!$B$8/100+(1-Premissas!$B$8/100)*(A533-1)/(Premissas!$B$9-1)))</f>
        <v>1</v>
      </c>
      <c r="C533" s="9" t="n">
        <f aca="false">IF(A533&lt;=Resultados!$B$9,Resultados!$B$10,0)</f>
        <v>0</v>
      </c>
      <c r="D533" s="9" t="n">
        <f aca="false">Resultados!$E$37*$B533-Resultados!$F$37*$B533-Premissas!$B$24-Resultados!$E$37*$B533*(Premissas!$B$14/100)</f>
        <v>19027</v>
      </c>
      <c r="E533" s="9" t="n">
        <f aca="false">D533-$C533</f>
        <v>19027</v>
      </c>
      <c r="F533" s="9" t="n">
        <f aca="false">F532+E533</f>
        <v>9675679.9</v>
      </c>
      <c r="G533" s="37" t="str">
        <f aca="false">IF(AND(F532&lt;0,F533&gt;=0,A533&lt;=MAX(120,Premissas!$B$15*12)),(A533-1)+(-F532)/E533,"")</f>
        <v/>
      </c>
      <c r="H533" s="9" t="n">
        <f aca="false">Resultados!$E$38*$B533-Resultados!$F$38*$B533-Premissas!$B$24-Resultados!$E$38*$B533*(Premissas!$B$14/100)</f>
        <v>24432.4</v>
      </c>
      <c r="I533" s="9" t="n">
        <f aca="false">H533-$C533</f>
        <v>24432.4</v>
      </c>
      <c r="J533" s="9" t="n">
        <f aca="false">J532+I533</f>
        <v>12517298.6800001</v>
      </c>
      <c r="K533" s="37" t="str">
        <f aca="false">IF(AND(J532&lt;0,J533&gt;=0,A533&lt;=MAX(120,Premissas!$B$15*12)),(A533-1)+(-J532)/I533,"")</f>
        <v/>
      </c>
      <c r="L533" s="9" t="n">
        <f aca="false">Resultados!$E$39*$B533-Resultados!$F$39*$B533-Premissas!$B$24-Resultados!$E$39*$B533*(Premissas!$B$14/100)</f>
        <v>29837.8</v>
      </c>
      <c r="M533" s="9" t="n">
        <f aca="false">L533-$C533</f>
        <v>29837.8</v>
      </c>
      <c r="N533" s="9" t="n">
        <f aca="false">N532+M533</f>
        <v>15358917.4600001</v>
      </c>
      <c r="O533" s="37" t="str">
        <f aca="false">IF(AND(N532&lt;0,N533&gt;=0,A533&lt;=MAX(120,Premissas!$B$15*12)),(A533-1)+(-N532)/M533,"")</f>
        <v/>
      </c>
      <c r="P533" s="9" t="n">
        <f aca="false">Resultados!$B$19*$B533-Resultados!$B$20*$B533-Premissas!$B$24-Resultados!$B$19*$B533*(Premissas!$B$14/100)</f>
        <v>24432.4</v>
      </c>
      <c r="Q533" s="9" t="n">
        <f aca="false">P533-$C533</f>
        <v>24432.4</v>
      </c>
      <c r="R533" s="9" t="n">
        <f aca="false">R532+Q533</f>
        <v>12517298.6800001</v>
      </c>
      <c r="S533" s="37" t="str">
        <f aca="false">IF(AND(R532&lt;0,R533&gt;=0,A533&lt;=MAX(120,Premissas!$B$15*12)),(A533-1)+(-R532)/Q533,"")</f>
        <v/>
      </c>
    </row>
    <row r="534" customFormat="false" ht="15" hidden="false" customHeight="false" outlineLevel="0" collapsed="false">
      <c r="A534" s="10" t="n">
        <f aca="false">A533+1</f>
        <v>530</v>
      </c>
      <c r="B534" s="36" t="n">
        <f aca="false">IF(Premissas!$B$9&lt;=1,1,MIN(1,Premissas!$B$8/100+(1-Premissas!$B$8/100)*(A534-1)/(Premissas!$B$9-1)))</f>
        <v>1</v>
      </c>
      <c r="C534" s="9" t="n">
        <f aca="false">IF(A534&lt;=Resultados!$B$9,Resultados!$B$10,0)</f>
        <v>0</v>
      </c>
      <c r="D534" s="9" t="n">
        <f aca="false">Resultados!$E$37*$B534-Resultados!$F$37*$B534-Premissas!$B$24-Resultados!$E$37*$B534*(Premissas!$B$14/100)</f>
        <v>19027</v>
      </c>
      <c r="E534" s="9" t="n">
        <f aca="false">D534-$C534</f>
        <v>19027</v>
      </c>
      <c r="F534" s="9" t="n">
        <f aca="false">F533+E534</f>
        <v>9694706.9</v>
      </c>
      <c r="G534" s="37" t="str">
        <f aca="false">IF(AND(F533&lt;0,F534&gt;=0,A534&lt;=MAX(120,Premissas!$B$15*12)),(A534-1)+(-F533)/E534,"")</f>
        <v/>
      </c>
      <c r="H534" s="9" t="n">
        <f aca="false">Resultados!$E$38*$B534-Resultados!$F$38*$B534-Premissas!$B$24-Resultados!$E$38*$B534*(Premissas!$B$14/100)</f>
        <v>24432.4</v>
      </c>
      <c r="I534" s="9" t="n">
        <f aca="false">H534-$C534</f>
        <v>24432.4</v>
      </c>
      <c r="J534" s="9" t="n">
        <f aca="false">J533+I534</f>
        <v>12541731.0800001</v>
      </c>
      <c r="K534" s="37" t="str">
        <f aca="false">IF(AND(J533&lt;0,J534&gt;=0,A534&lt;=MAX(120,Premissas!$B$15*12)),(A534-1)+(-J533)/I534,"")</f>
        <v/>
      </c>
      <c r="L534" s="9" t="n">
        <f aca="false">Resultados!$E$39*$B534-Resultados!$F$39*$B534-Premissas!$B$24-Resultados!$E$39*$B534*(Premissas!$B$14/100)</f>
        <v>29837.8</v>
      </c>
      <c r="M534" s="9" t="n">
        <f aca="false">L534-$C534</f>
        <v>29837.8</v>
      </c>
      <c r="N534" s="9" t="n">
        <f aca="false">N533+M534</f>
        <v>15388755.2600001</v>
      </c>
      <c r="O534" s="37" t="str">
        <f aca="false">IF(AND(N533&lt;0,N534&gt;=0,A534&lt;=MAX(120,Premissas!$B$15*12)),(A534-1)+(-N533)/M534,"")</f>
        <v/>
      </c>
      <c r="P534" s="9" t="n">
        <f aca="false">Resultados!$B$19*$B534-Resultados!$B$20*$B534-Premissas!$B$24-Resultados!$B$19*$B534*(Premissas!$B$14/100)</f>
        <v>24432.4</v>
      </c>
      <c r="Q534" s="9" t="n">
        <f aca="false">P534-$C534</f>
        <v>24432.4</v>
      </c>
      <c r="R534" s="9" t="n">
        <f aca="false">R533+Q534</f>
        <v>12541731.0800001</v>
      </c>
      <c r="S534" s="37" t="str">
        <f aca="false">IF(AND(R533&lt;0,R534&gt;=0,A534&lt;=MAX(120,Premissas!$B$15*12)),(A534-1)+(-R533)/Q534,"")</f>
        <v/>
      </c>
    </row>
    <row r="535" customFormat="false" ht="15" hidden="false" customHeight="false" outlineLevel="0" collapsed="false">
      <c r="A535" s="10" t="n">
        <f aca="false">A534+1</f>
        <v>531</v>
      </c>
      <c r="B535" s="36" t="n">
        <f aca="false">IF(Premissas!$B$9&lt;=1,1,MIN(1,Premissas!$B$8/100+(1-Premissas!$B$8/100)*(A535-1)/(Premissas!$B$9-1)))</f>
        <v>1</v>
      </c>
      <c r="C535" s="9" t="n">
        <f aca="false">IF(A535&lt;=Resultados!$B$9,Resultados!$B$10,0)</f>
        <v>0</v>
      </c>
      <c r="D535" s="9" t="n">
        <f aca="false">Resultados!$E$37*$B535-Resultados!$F$37*$B535-Premissas!$B$24-Resultados!$E$37*$B535*(Premissas!$B$14/100)</f>
        <v>19027</v>
      </c>
      <c r="E535" s="9" t="n">
        <f aca="false">D535-$C535</f>
        <v>19027</v>
      </c>
      <c r="F535" s="9" t="n">
        <f aca="false">F534+E535</f>
        <v>9713733.9</v>
      </c>
      <c r="G535" s="37" t="str">
        <f aca="false">IF(AND(F534&lt;0,F535&gt;=0,A535&lt;=MAX(120,Premissas!$B$15*12)),(A535-1)+(-F534)/E535,"")</f>
        <v/>
      </c>
      <c r="H535" s="9" t="n">
        <f aca="false">Resultados!$E$38*$B535-Resultados!$F$38*$B535-Premissas!$B$24-Resultados!$E$38*$B535*(Premissas!$B$14/100)</f>
        <v>24432.4</v>
      </c>
      <c r="I535" s="9" t="n">
        <f aca="false">H535-$C535</f>
        <v>24432.4</v>
      </c>
      <c r="J535" s="9" t="n">
        <f aca="false">J534+I535</f>
        <v>12566163.4800001</v>
      </c>
      <c r="K535" s="37" t="str">
        <f aca="false">IF(AND(J534&lt;0,J535&gt;=0,A535&lt;=MAX(120,Premissas!$B$15*12)),(A535-1)+(-J534)/I535,"")</f>
        <v/>
      </c>
      <c r="L535" s="9" t="n">
        <f aca="false">Resultados!$E$39*$B535-Resultados!$F$39*$B535-Premissas!$B$24-Resultados!$E$39*$B535*(Premissas!$B$14/100)</f>
        <v>29837.8</v>
      </c>
      <c r="M535" s="9" t="n">
        <f aca="false">L535-$C535</f>
        <v>29837.8</v>
      </c>
      <c r="N535" s="9" t="n">
        <f aca="false">N534+M535</f>
        <v>15418593.0600001</v>
      </c>
      <c r="O535" s="37" t="str">
        <f aca="false">IF(AND(N534&lt;0,N535&gt;=0,A535&lt;=MAX(120,Premissas!$B$15*12)),(A535-1)+(-N534)/M535,"")</f>
        <v/>
      </c>
      <c r="P535" s="9" t="n">
        <f aca="false">Resultados!$B$19*$B535-Resultados!$B$20*$B535-Premissas!$B$24-Resultados!$B$19*$B535*(Premissas!$B$14/100)</f>
        <v>24432.4</v>
      </c>
      <c r="Q535" s="9" t="n">
        <f aca="false">P535-$C535</f>
        <v>24432.4</v>
      </c>
      <c r="R535" s="9" t="n">
        <f aca="false">R534+Q535</f>
        <v>12566163.4800001</v>
      </c>
      <c r="S535" s="37" t="str">
        <f aca="false">IF(AND(R534&lt;0,R535&gt;=0,A535&lt;=MAX(120,Premissas!$B$15*12)),(A535-1)+(-R534)/Q535,"")</f>
        <v/>
      </c>
    </row>
    <row r="536" customFormat="false" ht="15" hidden="false" customHeight="false" outlineLevel="0" collapsed="false">
      <c r="A536" s="10" t="n">
        <f aca="false">A535+1</f>
        <v>532</v>
      </c>
      <c r="B536" s="36" t="n">
        <f aca="false">IF(Premissas!$B$9&lt;=1,1,MIN(1,Premissas!$B$8/100+(1-Premissas!$B$8/100)*(A536-1)/(Premissas!$B$9-1)))</f>
        <v>1</v>
      </c>
      <c r="C536" s="9" t="n">
        <f aca="false">IF(A536&lt;=Resultados!$B$9,Resultados!$B$10,0)</f>
        <v>0</v>
      </c>
      <c r="D536" s="9" t="n">
        <f aca="false">Resultados!$E$37*$B536-Resultados!$F$37*$B536-Premissas!$B$24-Resultados!$E$37*$B536*(Premissas!$B$14/100)</f>
        <v>19027</v>
      </c>
      <c r="E536" s="9" t="n">
        <f aca="false">D536-$C536</f>
        <v>19027</v>
      </c>
      <c r="F536" s="9" t="n">
        <f aca="false">F535+E536</f>
        <v>9732760.9</v>
      </c>
      <c r="G536" s="37" t="str">
        <f aca="false">IF(AND(F535&lt;0,F536&gt;=0,A536&lt;=MAX(120,Premissas!$B$15*12)),(A536-1)+(-F535)/E536,"")</f>
        <v/>
      </c>
      <c r="H536" s="9" t="n">
        <f aca="false">Resultados!$E$38*$B536-Resultados!$F$38*$B536-Premissas!$B$24-Resultados!$E$38*$B536*(Premissas!$B$14/100)</f>
        <v>24432.4</v>
      </c>
      <c r="I536" s="9" t="n">
        <f aca="false">H536-$C536</f>
        <v>24432.4</v>
      </c>
      <c r="J536" s="9" t="n">
        <f aca="false">J535+I536</f>
        <v>12590595.8800001</v>
      </c>
      <c r="K536" s="37" t="str">
        <f aca="false">IF(AND(J535&lt;0,J536&gt;=0,A536&lt;=MAX(120,Premissas!$B$15*12)),(A536-1)+(-J535)/I536,"")</f>
        <v/>
      </c>
      <c r="L536" s="9" t="n">
        <f aca="false">Resultados!$E$39*$B536-Resultados!$F$39*$B536-Premissas!$B$24-Resultados!$E$39*$B536*(Premissas!$B$14/100)</f>
        <v>29837.8</v>
      </c>
      <c r="M536" s="9" t="n">
        <f aca="false">L536-$C536</f>
        <v>29837.8</v>
      </c>
      <c r="N536" s="9" t="n">
        <f aca="false">N535+M536</f>
        <v>15448430.8600001</v>
      </c>
      <c r="O536" s="37" t="str">
        <f aca="false">IF(AND(N535&lt;0,N536&gt;=0,A536&lt;=MAX(120,Premissas!$B$15*12)),(A536-1)+(-N535)/M536,"")</f>
        <v/>
      </c>
      <c r="P536" s="9" t="n">
        <f aca="false">Resultados!$B$19*$B536-Resultados!$B$20*$B536-Premissas!$B$24-Resultados!$B$19*$B536*(Premissas!$B$14/100)</f>
        <v>24432.4</v>
      </c>
      <c r="Q536" s="9" t="n">
        <f aca="false">P536-$C536</f>
        <v>24432.4</v>
      </c>
      <c r="R536" s="9" t="n">
        <f aca="false">R535+Q536</f>
        <v>12590595.8800001</v>
      </c>
      <c r="S536" s="37" t="str">
        <f aca="false">IF(AND(R535&lt;0,R536&gt;=0,A536&lt;=MAX(120,Premissas!$B$15*12)),(A536-1)+(-R535)/Q536,"")</f>
        <v/>
      </c>
    </row>
    <row r="537" customFormat="false" ht="15" hidden="false" customHeight="false" outlineLevel="0" collapsed="false">
      <c r="A537" s="10" t="n">
        <f aca="false">A536+1</f>
        <v>533</v>
      </c>
      <c r="B537" s="36" t="n">
        <f aca="false">IF(Premissas!$B$9&lt;=1,1,MIN(1,Premissas!$B$8/100+(1-Premissas!$B$8/100)*(A537-1)/(Premissas!$B$9-1)))</f>
        <v>1</v>
      </c>
      <c r="C537" s="9" t="n">
        <f aca="false">IF(A537&lt;=Resultados!$B$9,Resultados!$B$10,0)</f>
        <v>0</v>
      </c>
      <c r="D537" s="9" t="n">
        <f aca="false">Resultados!$E$37*$B537-Resultados!$F$37*$B537-Premissas!$B$24-Resultados!$E$37*$B537*(Premissas!$B$14/100)</f>
        <v>19027</v>
      </c>
      <c r="E537" s="9" t="n">
        <f aca="false">D537-$C537</f>
        <v>19027</v>
      </c>
      <c r="F537" s="9" t="n">
        <f aca="false">F536+E537</f>
        <v>9751787.9</v>
      </c>
      <c r="G537" s="37" t="str">
        <f aca="false">IF(AND(F536&lt;0,F537&gt;=0,A537&lt;=MAX(120,Premissas!$B$15*12)),(A537-1)+(-F536)/E537,"")</f>
        <v/>
      </c>
      <c r="H537" s="9" t="n">
        <f aca="false">Resultados!$E$38*$B537-Resultados!$F$38*$B537-Premissas!$B$24-Resultados!$E$38*$B537*(Premissas!$B$14/100)</f>
        <v>24432.4</v>
      </c>
      <c r="I537" s="9" t="n">
        <f aca="false">H537-$C537</f>
        <v>24432.4</v>
      </c>
      <c r="J537" s="9" t="n">
        <f aca="false">J536+I537</f>
        <v>12615028.2800001</v>
      </c>
      <c r="K537" s="37" t="str">
        <f aca="false">IF(AND(J536&lt;0,J537&gt;=0,A537&lt;=MAX(120,Premissas!$B$15*12)),(A537-1)+(-J536)/I537,"")</f>
        <v/>
      </c>
      <c r="L537" s="9" t="n">
        <f aca="false">Resultados!$E$39*$B537-Resultados!$F$39*$B537-Premissas!$B$24-Resultados!$E$39*$B537*(Premissas!$B$14/100)</f>
        <v>29837.8</v>
      </c>
      <c r="M537" s="9" t="n">
        <f aca="false">L537-$C537</f>
        <v>29837.8</v>
      </c>
      <c r="N537" s="9" t="n">
        <f aca="false">N536+M537</f>
        <v>15478268.6600001</v>
      </c>
      <c r="O537" s="37" t="str">
        <f aca="false">IF(AND(N536&lt;0,N537&gt;=0,A537&lt;=MAX(120,Premissas!$B$15*12)),(A537-1)+(-N536)/M537,"")</f>
        <v/>
      </c>
      <c r="P537" s="9" t="n">
        <f aca="false">Resultados!$B$19*$B537-Resultados!$B$20*$B537-Premissas!$B$24-Resultados!$B$19*$B537*(Premissas!$B$14/100)</f>
        <v>24432.4</v>
      </c>
      <c r="Q537" s="9" t="n">
        <f aca="false">P537-$C537</f>
        <v>24432.4</v>
      </c>
      <c r="R537" s="9" t="n">
        <f aca="false">R536+Q537</f>
        <v>12615028.2800001</v>
      </c>
      <c r="S537" s="37" t="str">
        <f aca="false">IF(AND(R536&lt;0,R537&gt;=0,A537&lt;=MAX(120,Premissas!$B$15*12)),(A537-1)+(-R536)/Q537,"")</f>
        <v/>
      </c>
    </row>
    <row r="538" customFormat="false" ht="15" hidden="false" customHeight="false" outlineLevel="0" collapsed="false">
      <c r="A538" s="10" t="n">
        <f aca="false">A537+1</f>
        <v>534</v>
      </c>
      <c r="B538" s="36" t="n">
        <f aca="false">IF(Premissas!$B$9&lt;=1,1,MIN(1,Premissas!$B$8/100+(1-Premissas!$B$8/100)*(A538-1)/(Premissas!$B$9-1)))</f>
        <v>1</v>
      </c>
      <c r="C538" s="9" t="n">
        <f aca="false">IF(A538&lt;=Resultados!$B$9,Resultados!$B$10,0)</f>
        <v>0</v>
      </c>
      <c r="D538" s="9" t="n">
        <f aca="false">Resultados!$E$37*$B538-Resultados!$F$37*$B538-Premissas!$B$24-Resultados!$E$37*$B538*(Premissas!$B$14/100)</f>
        <v>19027</v>
      </c>
      <c r="E538" s="9" t="n">
        <f aca="false">D538-$C538</f>
        <v>19027</v>
      </c>
      <c r="F538" s="9" t="n">
        <f aca="false">F537+E538</f>
        <v>9770814.9</v>
      </c>
      <c r="G538" s="37" t="str">
        <f aca="false">IF(AND(F537&lt;0,F538&gt;=0,A538&lt;=MAX(120,Premissas!$B$15*12)),(A538-1)+(-F537)/E538,"")</f>
        <v/>
      </c>
      <c r="H538" s="9" t="n">
        <f aca="false">Resultados!$E$38*$B538-Resultados!$F$38*$B538-Premissas!$B$24-Resultados!$E$38*$B538*(Premissas!$B$14/100)</f>
        <v>24432.4</v>
      </c>
      <c r="I538" s="9" t="n">
        <f aca="false">H538-$C538</f>
        <v>24432.4</v>
      </c>
      <c r="J538" s="9" t="n">
        <f aca="false">J537+I538</f>
        <v>12639460.6800001</v>
      </c>
      <c r="K538" s="37" t="str">
        <f aca="false">IF(AND(J537&lt;0,J538&gt;=0,A538&lt;=MAX(120,Premissas!$B$15*12)),(A538-1)+(-J537)/I538,"")</f>
        <v/>
      </c>
      <c r="L538" s="9" t="n">
        <f aca="false">Resultados!$E$39*$B538-Resultados!$F$39*$B538-Premissas!$B$24-Resultados!$E$39*$B538*(Premissas!$B$14/100)</f>
        <v>29837.8</v>
      </c>
      <c r="M538" s="9" t="n">
        <f aca="false">L538-$C538</f>
        <v>29837.8</v>
      </c>
      <c r="N538" s="9" t="n">
        <f aca="false">N537+M538</f>
        <v>15508106.4600001</v>
      </c>
      <c r="O538" s="37" t="str">
        <f aca="false">IF(AND(N537&lt;0,N538&gt;=0,A538&lt;=MAX(120,Premissas!$B$15*12)),(A538-1)+(-N537)/M538,"")</f>
        <v/>
      </c>
      <c r="P538" s="9" t="n">
        <f aca="false">Resultados!$B$19*$B538-Resultados!$B$20*$B538-Premissas!$B$24-Resultados!$B$19*$B538*(Premissas!$B$14/100)</f>
        <v>24432.4</v>
      </c>
      <c r="Q538" s="9" t="n">
        <f aca="false">P538-$C538</f>
        <v>24432.4</v>
      </c>
      <c r="R538" s="9" t="n">
        <f aca="false">R537+Q538</f>
        <v>12639460.6800001</v>
      </c>
      <c r="S538" s="37" t="str">
        <f aca="false">IF(AND(R537&lt;0,R538&gt;=0,A538&lt;=MAX(120,Premissas!$B$15*12)),(A538-1)+(-R537)/Q538,"")</f>
        <v/>
      </c>
    </row>
    <row r="539" customFormat="false" ht="15" hidden="false" customHeight="false" outlineLevel="0" collapsed="false">
      <c r="A539" s="10" t="n">
        <f aca="false">A538+1</f>
        <v>535</v>
      </c>
      <c r="B539" s="36" t="n">
        <f aca="false">IF(Premissas!$B$9&lt;=1,1,MIN(1,Premissas!$B$8/100+(1-Premissas!$B$8/100)*(A539-1)/(Premissas!$B$9-1)))</f>
        <v>1</v>
      </c>
      <c r="C539" s="9" t="n">
        <f aca="false">IF(A539&lt;=Resultados!$B$9,Resultados!$B$10,0)</f>
        <v>0</v>
      </c>
      <c r="D539" s="9" t="n">
        <f aca="false">Resultados!$E$37*$B539-Resultados!$F$37*$B539-Premissas!$B$24-Resultados!$E$37*$B539*(Premissas!$B$14/100)</f>
        <v>19027</v>
      </c>
      <c r="E539" s="9" t="n">
        <f aca="false">D539-$C539</f>
        <v>19027</v>
      </c>
      <c r="F539" s="9" t="n">
        <f aca="false">F538+E539</f>
        <v>9789841.9</v>
      </c>
      <c r="G539" s="37" t="str">
        <f aca="false">IF(AND(F538&lt;0,F539&gt;=0,A539&lt;=MAX(120,Premissas!$B$15*12)),(A539-1)+(-F538)/E539,"")</f>
        <v/>
      </c>
      <c r="H539" s="9" t="n">
        <f aca="false">Resultados!$E$38*$B539-Resultados!$F$38*$B539-Premissas!$B$24-Resultados!$E$38*$B539*(Premissas!$B$14/100)</f>
        <v>24432.4</v>
      </c>
      <c r="I539" s="9" t="n">
        <f aca="false">H539-$C539</f>
        <v>24432.4</v>
      </c>
      <c r="J539" s="9" t="n">
        <f aca="false">J538+I539</f>
        <v>12663893.0800001</v>
      </c>
      <c r="K539" s="37" t="str">
        <f aca="false">IF(AND(J538&lt;0,J539&gt;=0,A539&lt;=MAX(120,Premissas!$B$15*12)),(A539-1)+(-J538)/I539,"")</f>
        <v/>
      </c>
      <c r="L539" s="9" t="n">
        <f aca="false">Resultados!$E$39*$B539-Resultados!$F$39*$B539-Premissas!$B$24-Resultados!$E$39*$B539*(Premissas!$B$14/100)</f>
        <v>29837.8</v>
      </c>
      <c r="M539" s="9" t="n">
        <f aca="false">L539-$C539</f>
        <v>29837.8</v>
      </c>
      <c r="N539" s="9" t="n">
        <f aca="false">N538+M539</f>
        <v>15537944.2600001</v>
      </c>
      <c r="O539" s="37" t="str">
        <f aca="false">IF(AND(N538&lt;0,N539&gt;=0,A539&lt;=MAX(120,Premissas!$B$15*12)),(A539-1)+(-N538)/M539,"")</f>
        <v/>
      </c>
      <c r="P539" s="9" t="n">
        <f aca="false">Resultados!$B$19*$B539-Resultados!$B$20*$B539-Premissas!$B$24-Resultados!$B$19*$B539*(Premissas!$B$14/100)</f>
        <v>24432.4</v>
      </c>
      <c r="Q539" s="9" t="n">
        <f aca="false">P539-$C539</f>
        <v>24432.4</v>
      </c>
      <c r="R539" s="9" t="n">
        <f aca="false">R538+Q539</f>
        <v>12663893.0800001</v>
      </c>
      <c r="S539" s="37" t="str">
        <f aca="false">IF(AND(R538&lt;0,R539&gt;=0,A539&lt;=MAX(120,Premissas!$B$15*12)),(A539-1)+(-R538)/Q539,"")</f>
        <v/>
      </c>
    </row>
    <row r="540" customFormat="false" ht="15" hidden="false" customHeight="false" outlineLevel="0" collapsed="false">
      <c r="A540" s="10" t="n">
        <f aca="false">A539+1</f>
        <v>536</v>
      </c>
      <c r="B540" s="36" t="n">
        <f aca="false">IF(Premissas!$B$9&lt;=1,1,MIN(1,Premissas!$B$8/100+(1-Premissas!$B$8/100)*(A540-1)/(Premissas!$B$9-1)))</f>
        <v>1</v>
      </c>
      <c r="C540" s="9" t="n">
        <f aca="false">IF(A540&lt;=Resultados!$B$9,Resultados!$B$10,0)</f>
        <v>0</v>
      </c>
      <c r="D540" s="9" t="n">
        <f aca="false">Resultados!$E$37*$B540-Resultados!$F$37*$B540-Premissas!$B$24-Resultados!$E$37*$B540*(Premissas!$B$14/100)</f>
        <v>19027</v>
      </c>
      <c r="E540" s="9" t="n">
        <f aca="false">D540-$C540</f>
        <v>19027</v>
      </c>
      <c r="F540" s="9" t="n">
        <f aca="false">F539+E540</f>
        <v>9808868.9</v>
      </c>
      <c r="G540" s="37" t="str">
        <f aca="false">IF(AND(F539&lt;0,F540&gt;=0,A540&lt;=MAX(120,Premissas!$B$15*12)),(A540-1)+(-F539)/E540,"")</f>
        <v/>
      </c>
      <c r="H540" s="9" t="n">
        <f aca="false">Resultados!$E$38*$B540-Resultados!$F$38*$B540-Premissas!$B$24-Resultados!$E$38*$B540*(Premissas!$B$14/100)</f>
        <v>24432.4</v>
      </c>
      <c r="I540" s="9" t="n">
        <f aca="false">H540-$C540</f>
        <v>24432.4</v>
      </c>
      <c r="J540" s="9" t="n">
        <f aca="false">J539+I540</f>
        <v>12688325.4800001</v>
      </c>
      <c r="K540" s="37" t="str">
        <f aca="false">IF(AND(J539&lt;0,J540&gt;=0,A540&lt;=MAX(120,Premissas!$B$15*12)),(A540-1)+(-J539)/I540,"")</f>
        <v/>
      </c>
      <c r="L540" s="9" t="n">
        <f aca="false">Resultados!$E$39*$B540-Resultados!$F$39*$B540-Premissas!$B$24-Resultados!$E$39*$B540*(Premissas!$B$14/100)</f>
        <v>29837.8</v>
      </c>
      <c r="M540" s="9" t="n">
        <f aca="false">L540-$C540</f>
        <v>29837.8</v>
      </c>
      <c r="N540" s="9" t="n">
        <f aca="false">N539+M540</f>
        <v>15567782.0600001</v>
      </c>
      <c r="O540" s="37" t="str">
        <f aca="false">IF(AND(N539&lt;0,N540&gt;=0,A540&lt;=MAX(120,Premissas!$B$15*12)),(A540-1)+(-N539)/M540,"")</f>
        <v/>
      </c>
      <c r="P540" s="9" t="n">
        <f aca="false">Resultados!$B$19*$B540-Resultados!$B$20*$B540-Premissas!$B$24-Resultados!$B$19*$B540*(Premissas!$B$14/100)</f>
        <v>24432.4</v>
      </c>
      <c r="Q540" s="9" t="n">
        <f aca="false">P540-$C540</f>
        <v>24432.4</v>
      </c>
      <c r="R540" s="9" t="n">
        <f aca="false">R539+Q540</f>
        <v>12688325.4800001</v>
      </c>
      <c r="S540" s="37" t="str">
        <f aca="false">IF(AND(R539&lt;0,R540&gt;=0,A540&lt;=MAX(120,Premissas!$B$15*12)),(A540-1)+(-R539)/Q540,"")</f>
        <v/>
      </c>
    </row>
    <row r="541" customFormat="false" ht="15" hidden="false" customHeight="false" outlineLevel="0" collapsed="false">
      <c r="A541" s="10" t="n">
        <f aca="false">A540+1</f>
        <v>537</v>
      </c>
      <c r="B541" s="36" t="n">
        <f aca="false">IF(Premissas!$B$9&lt;=1,1,MIN(1,Premissas!$B$8/100+(1-Premissas!$B$8/100)*(A541-1)/(Premissas!$B$9-1)))</f>
        <v>1</v>
      </c>
      <c r="C541" s="9" t="n">
        <f aca="false">IF(A541&lt;=Resultados!$B$9,Resultados!$B$10,0)</f>
        <v>0</v>
      </c>
      <c r="D541" s="9" t="n">
        <f aca="false">Resultados!$E$37*$B541-Resultados!$F$37*$B541-Premissas!$B$24-Resultados!$E$37*$B541*(Premissas!$B$14/100)</f>
        <v>19027</v>
      </c>
      <c r="E541" s="9" t="n">
        <f aca="false">D541-$C541</f>
        <v>19027</v>
      </c>
      <c r="F541" s="9" t="n">
        <f aca="false">F540+E541</f>
        <v>9827895.9</v>
      </c>
      <c r="G541" s="37" t="str">
        <f aca="false">IF(AND(F540&lt;0,F541&gt;=0,A541&lt;=MAX(120,Premissas!$B$15*12)),(A541-1)+(-F540)/E541,"")</f>
        <v/>
      </c>
      <c r="H541" s="9" t="n">
        <f aca="false">Resultados!$E$38*$B541-Resultados!$F$38*$B541-Premissas!$B$24-Resultados!$E$38*$B541*(Premissas!$B$14/100)</f>
        <v>24432.4</v>
      </c>
      <c r="I541" s="9" t="n">
        <f aca="false">H541-$C541</f>
        <v>24432.4</v>
      </c>
      <c r="J541" s="9" t="n">
        <f aca="false">J540+I541</f>
        <v>12712757.8800001</v>
      </c>
      <c r="K541" s="37" t="str">
        <f aca="false">IF(AND(J540&lt;0,J541&gt;=0,A541&lt;=MAX(120,Premissas!$B$15*12)),(A541-1)+(-J540)/I541,"")</f>
        <v/>
      </c>
      <c r="L541" s="9" t="n">
        <f aca="false">Resultados!$E$39*$B541-Resultados!$F$39*$B541-Premissas!$B$24-Resultados!$E$39*$B541*(Premissas!$B$14/100)</f>
        <v>29837.8</v>
      </c>
      <c r="M541" s="9" t="n">
        <f aca="false">L541-$C541</f>
        <v>29837.8</v>
      </c>
      <c r="N541" s="9" t="n">
        <f aca="false">N540+M541</f>
        <v>15597619.8600001</v>
      </c>
      <c r="O541" s="37" t="str">
        <f aca="false">IF(AND(N540&lt;0,N541&gt;=0,A541&lt;=MAX(120,Premissas!$B$15*12)),(A541-1)+(-N540)/M541,"")</f>
        <v/>
      </c>
      <c r="P541" s="9" t="n">
        <f aca="false">Resultados!$B$19*$B541-Resultados!$B$20*$B541-Premissas!$B$24-Resultados!$B$19*$B541*(Premissas!$B$14/100)</f>
        <v>24432.4</v>
      </c>
      <c r="Q541" s="9" t="n">
        <f aca="false">P541-$C541</f>
        <v>24432.4</v>
      </c>
      <c r="R541" s="9" t="n">
        <f aca="false">R540+Q541</f>
        <v>12712757.8800001</v>
      </c>
      <c r="S541" s="37" t="str">
        <f aca="false">IF(AND(R540&lt;0,R541&gt;=0,A541&lt;=MAX(120,Premissas!$B$15*12)),(A541-1)+(-R540)/Q541,"")</f>
        <v/>
      </c>
    </row>
    <row r="542" customFormat="false" ht="15" hidden="false" customHeight="false" outlineLevel="0" collapsed="false">
      <c r="A542" s="10" t="n">
        <f aca="false">A541+1</f>
        <v>538</v>
      </c>
      <c r="B542" s="36" t="n">
        <f aca="false">IF(Premissas!$B$9&lt;=1,1,MIN(1,Premissas!$B$8/100+(1-Premissas!$B$8/100)*(A542-1)/(Premissas!$B$9-1)))</f>
        <v>1</v>
      </c>
      <c r="C542" s="9" t="n">
        <f aca="false">IF(A542&lt;=Resultados!$B$9,Resultados!$B$10,0)</f>
        <v>0</v>
      </c>
      <c r="D542" s="9" t="n">
        <f aca="false">Resultados!$E$37*$B542-Resultados!$F$37*$B542-Premissas!$B$24-Resultados!$E$37*$B542*(Premissas!$B$14/100)</f>
        <v>19027</v>
      </c>
      <c r="E542" s="9" t="n">
        <f aca="false">D542-$C542</f>
        <v>19027</v>
      </c>
      <c r="F542" s="9" t="n">
        <f aca="false">F541+E542</f>
        <v>9846922.9</v>
      </c>
      <c r="G542" s="37" t="str">
        <f aca="false">IF(AND(F541&lt;0,F542&gt;=0,A542&lt;=MAX(120,Premissas!$B$15*12)),(A542-1)+(-F541)/E542,"")</f>
        <v/>
      </c>
      <c r="H542" s="9" t="n">
        <f aca="false">Resultados!$E$38*$B542-Resultados!$F$38*$B542-Premissas!$B$24-Resultados!$E$38*$B542*(Premissas!$B$14/100)</f>
        <v>24432.4</v>
      </c>
      <c r="I542" s="9" t="n">
        <f aca="false">H542-$C542</f>
        <v>24432.4</v>
      </c>
      <c r="J542" s="9" t="n">
        <f aca="false">J541+I542</f>
        <v>12737190.2800001</v>
      </c>
      <c r="K542" s="37" t="str">
        <f aca="false">IF(AND(J541&lt;0,J542&gt;=0,A542&lt;=MAX(120,Premissas!$B$15*12)),(A542-1)+(-J541)/I542,"")</f>
        <v/>
      </c>
      <c r="L542" s="9" t="n">
        <f aca="false">Resultados!$E$39*$B542-Resultados!$F$39*$B542-Premissas!$B$24-Resultados!$E$39*$B542*(Premissas!$B$14/100)</f>
        <v>29837.8</v>
      </c>
      <c r="M542" s="9" t="n">
        <f aca="false">L542-$C542</f>
        <v>29837.8</v>
      </c>
      <c r="N542" s="9" t="n">
        <f aca="false">N541+M542</f>
        <v>15627457.6600001</v>
      </c>
      <c r="O542" s="37" t="str">
        <f aca="false">IF(AND(N541&lt;0,N542&gt;=0,A542&lt;=MAX(120,Premissas!$B$15*12)),(A542-1)+(-N541)/M542,"")</f>
        <v/>
      </c>
      <c r="P542" s="9" t="n">
        <f aca="false">Resultados!$B$19*$B542-Resultados!$B$20*$B542-Premissas!$B$24-Resultados!$B$19*$B542*(Premissas!$B$14/100)</f>
        <v>24432.4</v>
      </c>
      <c r="Q542" s="9" t="n">
        <f aca="false">P542-$C542</f>
        <v>24432.4</v>
      </c>
      <c r="R542" s="9" t="n">
        <f aca="false">R541+Q542</f>
        <v>12737190.2800001</v>
      </c>
      <c r="S542" s="37" t="str">
        <f aca="false">IF(AND(R541&lt;0,R542&gt;=0,A542&lt;=MAX(120,Premissas!$B$15*12)),(A542-1)+(-R541)/Q542,"")</f>
        <v/>
      </c>
    </row>
    <row r="543" customFormat="false" ht="15" hidden="false" customHeight="false" outlineLevel="0" collapsed="false">
      <c r="A543" s="10" t="n">
        <f aca="false">A542+1</f>
        <v>539</v>
      </c>
      <c r="B543" s="36" t="n">
        <f aca="false">IF(Premissas!$B$9&lt;=1,1,MIN(1,Premissas!$B$8/100+(1-Premissas!$B$8/100)*(A543-1)/(Premissas!$B$9-1)))</f>
        <v>1</v>
      </c>
      <c r="C543" s="9" t="n">
        <f aca="false">IF(A543&lt;=Resultados!$B$9,Resultados!$B$10,0)</f>
        <v>0</v>
      </c>
      <c r="D543" s="9" t="n">
        <f aca="false">Resultados!$E$37*$B543-Resultados!$F$37*$B543-Premissas!$B$24-Resultados!$E$37*$B543*(Premissas!$B$14/100)</f>
        <v>19027</v>
      </c>
      <c r="E543" s="9" t="n">
        <f aca="false">D543-$C543</f>
        <v>19027</v>
      </c>
      <c r="F543" s="9" t="n">
        <f aca="false">F542+E543</f>
        <v>9865949.9</v>
      </c>
      <c r="G543" s="37" t="str">
        <f aca="false">IF(AND(F542&lt;0,F543&gt;=0,A543&lt;=MAX(120,Premissas!$B$15*12)),(A543-1)+(-F542)/E543,"")</f>
        <v/>
      </c>
      <c r="H543" s="9" t="n">
        <f aca="false">Resultados!$E$38*$B543-Resultados!$F$38*$B543-Premissas!$B$24-Resultados!$E$38*$B543*(Premissas!$B$14/100)</f>
        <v>24432.4</v>
      </c>
      <c r="I543" s="9" t="n">
        <f aca="false">H543-$C543</f>
        <v>24432.4</v>
      </c>
      <c r="J543" s="9" t="n">
        <f aca="false">J542+I543</f>
        <v>12761622.6800001</v>
      </c>
      <c r="K543" s="37" t="str">
        <f aca="false">IF(AND(J542&lt;0,J543&gt;=0,A543&lt;=MAX(120,Premissas!$B$15*12)),(A543-1)+(-J542)/I543,"")</f>
        <v/>
      </c>
      <c r="L543" s="9" t="n">
        <f aca="false">Resultados!$E$39*$B543-Resultados!$F$39*$B543-Premissas!$B$24-Resultados!$E$39*$B543*(Premissas!$B$14/100)</f>
        <v>29837.8</v>
      </c>
      <c r="M543" s="9" t="n">
        <f aca="false">L543-$C543</f>
        <v>29837.8</v>
      </c>
      <c r="N543" s="9" t="n">
        <f aca="false">N542+M543</f>
        <v>15657295.4600001</v>
      </c>
      <c r="O543" s="37" t="str">
        <f aca="false">IF(AND(N542&lt;0,N543&gt;=0,A543&lt;=MAX(120,Premissas!$B$15*12)),(A543-1)+(-N542)/M543,"")</f>
        <v/>
      </c>
      <c r="P543" s="9" t="n">
        <f aca="false">Resultados!$B$19*$B543-Resultados!$B$20*$B543-Premissas!$B$24-Resultados!$B$19*$B543*(Premissas!$B$14/100)</f>
        <v>24432.4</v>
      </c>
      <c r="Q543" s="9" t="n">
        <f aca="false">P543-$C543</f>
        <v>24432.4</v>
      </c>
      <c r="R543" s="9" t="n">
        <f aca="false">R542+Q543</f>
        <v>12761622.6800001</v>
      </c>
      <c r="S543" s="37" t="str">
        <f aca="false">IF(AND(R542&lt;0,R543&gt;=0,A543&lt;=MAX(120,Premissas!$B$15*12)),(A543-1)+(-R542)/Q543,"")</f>
        <v/>
      </c>
    </row>
    <row r="544" customFormat="false" ht="15" hidden="false" customHeight="false" outlineLevel="0" collapsed="false">
      <c r="A544" s="10" t="n">
        <f aca="false">A543+1</f>
        <v>540</v>
      </c>
      <c r="B544" s="36" t="n">
        <f aca="false">IF(Premissas!$B$9&lt;=1,1,MIN(1,Premissas!$B$8/100+(1-Premissas!$B$8/100)*(A544-1)/(Premissas!$B$9-1)))</f>
        <v>1</v>
      </c>
      <c r="C544" s="9" t="n">
        <f aca="false">IF(A544&lt;=Resultados!$B$9,Resultados!$B$10,0)</f>
        <v>0</v>
      </c>
      <c r="D544" s="9" t="n">
        <f aca="false">Resultados!$E$37*$B544-Resultados!$F$37*$B544-Premissas!$B$24-Resultados!$E$37*$B544*(Premissas!$B$14/100)</f>
        <v>19027</v>
      </c>
      <c r="E544" s="9" t="n">
        <f aca="false">D544-$C544</f>
        <v>19027</v>
      </c>
      <c r="F544" s="9" t="n">
        <f aca="false">F543+E544</f>
        <v>9884976.9</v>
      </c>
      <c r="G544" s="37" t="str">
        <f aca="false">IF(AND(F543&lt;0,F544&gt;=0,A544&lt;=MAX(120,Premissas!$B$15*12)),(A544-1)+(-F543)/E544,"")</f>
        <v/>
      </c>
      <c r="H544" s="9" t="n">
        <f aca="false">Resultados!$E$38*$B544-Resultados!$F$38*$B544-Premissas!$B$24-Resultados!$E$38*$B544*(Premissas!$B$14/100)</f>
        <v>24432.4</v>
      </c>
      <c r="I544" s="9" t="n">
        <f aca="false">H544-$C544</f>
        <v>24432.4</v>
      </c>
      <c r="J544" s="9" t="n">
        <f aca="false">J543+I544</f>
        <v>12786055.0800001</v>
      </c>
      <c r="K544" s="37" t="str">
        <f aca="false">IF(AND(J543&lt;0,J544&gt;=0,A544&lt;=MAX(120,Premissas!$B$15*12)),(A544-1)+(-J543)/I544,"")</f>
        <v/>
      </c>
      <c r="L544" s="9" t="n">
        <f aca="false">Resultados!$E$39*$B544-Resultados!$F$39*$B544-Premissas!$B$24-Resultados!$E$39*$B544*(Premissas!$B$14/100)</f>
        <v>29837.8</v>
      </c>
      <c r="M544" s="9" t="n">
        <f aca="false">L544-$C544</f>
        <v>29837.8</v>
      </c>
      <c r="N544" s="9" t="n">
        <f aca="false">N543+M544</f>
        <v>15687133.2600001</v>
      </c>
      <c r="O544" s="37" t="str">
        <f aca="false">IF(AND(N543&lt;0,N544&gt;=0,A544&lt;=MAX(120,Premissas!$B$15*12)),(A544-1)+(-N543)/M544,"")</f>
        <v/>
      </c>
      <c r="P544" s="9" t="n">
        <f aca="false">Resultados!$B$19*$B544-Resultados!$B$20*$B544-Premissas!$B$24-Resultados!$B$19*$B544*(Premissas!$B$14/100)</f>
        <v>24432.4</v>
      </c>
      <c r="Q544" s="9" t="n">
        <f aca="false">P544-$C544</f>
        <v>24432.4</v>
      </c>
      <c r="R544" s="9" t="n">
        <f aca="false">R543+Q544</f>
        <v>12786055.0800001</v>
      </c>
      <c r="S544" s="37" t="str">
        <f aca="false">IF(AND(R543&lt;0,R544&gt;=0,A544&lt;=MAX(120,Premissas!$B$15*12)),(A544-1)+(-R543)/Q544,"")</f>
        <v/>
      </c>
    </row>
    <row r="545" customFormat="false" ht="15" hidden="false" customHeight="false" outlineLevel="0" collapsed="false">
      <c r="A545" s="10" t="n">
        <f aca="false">A544+1</f>
        <v>541</v>
      </c>
      <c r="B545" s="36" t="n">
        <f aca="false">IF(Premissas!$B$9&lt;=1,1,MIN(1,Premissas!$B$8/100+(1-Premissas!$B$8/100)*(A545-1)/(Premissas!$B$9-1)))</f>
        <v>1</v>
      </c>
      <c r="C545" s="9" t="n">
        <f aca="false">IF(A545&lt;=Resultados!$B$9,Resultados!$B$10,0)</f>
        <v>0</v>
      </c>
      <c r="D545" s="9" t="n">
        <f aca="false">Resultados!$E$37*$B545-Resultados!$F$37*$B545-Premissas!$B$24-Resultados!$E$37*$B545*(Premissas!$B$14/100)</f>
        <v>19027</v>
      </c>
      <c r="E545" s="9" t="n">
        <f aca="false">D545-$C545</f>
        <v>19027</v>
      </c>
      <c r="F545" s="9" t="n">
        <f aca="false">F544+E545</f>
        <v>9904003.9</v>
      </c>
      <c r="G545" s="37" t="str">
        <f aca="false">IF(AND(F544&lt;0,F545&gt;=0,A545&lt;=MAX(120,Premissas!$B$15*12)),(A545-1)+(-F544)/E545,"")</f>
        <v/>
      </c>
      <c r="H545" s="9" t="n">
        <f aca="false">Resultados!$E$38*$B545-Resultados!$F$38*$B545-Premissas!$B$24-Resultados!$E$38*$B545*(Premissas!$B$14/100)</f>
        <v>24432.4</v>
      </c>
      <c r="I545" s="9" t="n">
        <f aca="false">H545-$C545</f>
        <v>24432.4</v>
      </c>
      <c r="J545" s="9" t="n">
        <f aca="false">J544+I545</f>
        <v>12810487.4800001</v>
      </c>
      <c r="K545" s="37" t="str">
        <f aca="false">IF(AND(J544&lt;0,J545&gt;=0,A545&lt;=MAX(120,Premissas!$B$15*12)),(A545-1)+(-J544)/I545,"")</f>
        <v/>
      </c>
      <c r="L545" s="9" t="n">
        <f aca="false">Resultados!$E$39*$B545-Resultados!$F$39*$B545-Premissas!$B$24-Resultados!$E$39*$B545*(Premissas!$B$14/100)</f>
        <v>29837.8</v>
      </c>
      <c r="M545" s="9" t="n">
        <f aca="false">L545-$C545</f>
        <v>29837.8</v>
      </c>
      <c r="N545" s="9" t="n">
        <f aca="false">N544+M545</f>
        <v>15716971.0600001</v>
      </c>
      <c r="O545" s="37" t="str">
        <f aca="false">IF(AND(N544&lt;0,N545&gt;=0,A545&lt;=MAX(120,Premissas!$B$15*12)),(A545-1)+(-N544)/M545,"")</f>
        <v/>
      </c>
      <c r="P545" s="9" t="n">
        <f aca="false">Resultados!$B$19*$B545-Resultados!$B$20*$B545-Premissas!$B$24-Resultados!$B$19*$B545*(Premissas!$B$14/100)</f>
        <v>24432.4</v>
      </c>
      <c r="Q545" s="9" t="n">
        <f aca="false">P545-$C545</f>
        <v>24432.4</v>
      </c>
      <c r="R545" s="9" t="n">
        <f aca="false">R544+Q545</f>
        <v>12810487.4800001</v>
      </c>
      <c r="S545" s="37" t="str">
        <f aca="false">IF(AND(R544&lt;0,R545&gt;=0,A545&lt;=MAX(120,Premissas!$B$15*12)),(A545-1)+(-R544)/Q545,"")</f>
        <v/>
      </c>
    </row>
    <row r="546" customFormat="false" ht="15" hidden="false" customHeight="false" outlineLevel="0" collapsed="false">
      <c r="A546" s="10" t="n">
        <f aca="false">A545+1</f>
        <v>542</v>
      </c>
      <c r="B546" s="36" t="n">
        <f aca="false">IF(Premissas!$B$9&lt;=1,1,MIN(1,Premissas!$B$8/100+(1-Premissas!$B$8/100)*(A546-1)/(Premissas!$B$9-1)))</f>
        <v>1</v>
      </c>
      <c r="C546" s="9" t="n">
        <f aca="false">IF(A546&lt;=Resultados!$B$9,Resultados!$B$10,0)</f>
        <v>0</v>
      </c>
      <c r="D546" s="9" t="n">
        <f aca="false">Resultados!$E$37*$B546-Resultados!$F$37*$B546-Premissas!$B$24-Resultados!$E$37*$B546*(Premissas!$B$14/100)</f>
        <v>19027</v>
      </c>
      <c r="E546" s="9" t="n">
        <f aca="false">D546-$C546</f>
        <v>19027</v>
      </c>
      <c r="F546" s="9" t="n">
        <f aca="false">F545+E546</f>
        <v>9923030.9</v>
      </c>
      <c r="G546" s="37" t="str">
        <f aca="false">IF(AND(F545&lt;0,F546&gt;=0,A546&lt;=MAX(120,Premissas!$B$15*12)),(A546-1)+(-F545)/E546,"")</f>
        <v/>
      </c>
      <c r="H546" s="9" t="n">
        <f aca="false">Resultados!$E$38*$B546-Resultados!$F$38*$B546-Premissas!$B$24-Resultados!$E$38*$B546*(Premissas!$B$14/100)</f>
        <v>24432.4</v>
      </c>
      <c r="I546" s="9" t="n">
        <f aca="false">H546-$C546</f>
        <v>24432.4</v>
      </c>
      <c r="J546" s="9" t="n">
        <f aca="false">J545+I546</f>
        <v>12834919.8800001</v>
      </c>
      <c r="K546" s="37" t="str">
        <f aca="false">IF(AND(J545&lt;0,J546&gt;=0,A546&lt;=MAX(120,Premissas!$B$15*12)),(A546-1)+(-J545)/I546,"")</f>
        <v/>
      </c>
      <c r="L546" s="9" t="n">
        <f aca="false">Resultados!$E$39*$B546-Resultados!$F$39*$B546-Premissas!$B$24-Resultados!$E$39*$B546*(Premissas!$B$14/100)</f>
        <v>29837.8</v>
      </c>
      <c r="M546" s="9" t="n">
        <f aca="false">L546-$C546</f>
        <v>29837.8</v>
      </c>
      <c r="N546" s="9" t="n">
        <f aca="false">N545+M546</f>
        <v>15746808.8600001</v>
      </c>
      <c r="O546" s="37" t="str">
        <f aca="false">IF(AND(N545&lt;0,N546&gt;=0,A546&lt;=MAX(120,Premissas!$B$15*12)),(A546-1)+(-N545)/M546,"")</f>
        <v/>
      </c>
      <c r="P546" s="9" t="n">
        <f aca="false">Resultados!$B$19*$B546-Resultados!$B$20*$B546-Premissas!$B$24-Resultados!$B$19*$B546*(Premissas!$B$14/100)</f>
        <v>24432.4</v>
      </c>
      <c r="Q546" s="9" t="n">
        <f aca="false">P546-$C546</f>
        <v>24432.4</v>
      </c>
      <c r="R546" s="9" t="n">
        <f aca="false">R545+Q546</f>
        <v>12834919.8800001</v>
      </c>
      <c r="S546" s="37" t="str">
        <f aca="false">IF(AND(R545&lt;0,R546&gt;=0,A546&lt;=MAX(120,Premissas!$B$15*12)),(A546-1)+(-R545)/Q546,"")</f>
        <v/>
      </c>
    </row>
    <row r="547" customFormat="false" ht="15" hidden="false" customHeight="false" outlineLevel="0" collapsed="false">
      <c r="A547" s="10" t="n">
        <f aca="false">A546+1</f>
        <v>543</v>
      </c>
      <c r="B547" s="36" t="n">
        <f aca="false">IF(Premissas!$B$9&lt;=1,1,MIN(1,Premissas!$B$8/100+(1-Premissas!$B$8/100)*(A547-1)/(Premissas!$B$9-1)))</f>
        <v>1</v>
      </c>
      <c r="C547" s="9" t="n">
        <f aca="false">IF(A547&lt;=Resultados!$B$9,Resultados!$B$10,0)</f>
        <v>0</v>
      </c>
      <c r="D547" s="9" t="n">
        <f aca="false">Resultados!$E$37*$B547-Resultados!$F$37*$B547-Premissas!$B$24-Resultados!$E$37*$B547*(Premissas!$B$14/100)</f>
        <v>19027</v>
      </c>
      <c r="E547" s="9" t="n">
        <f aca="false">D547-$C547</f>
        <v>19027</v>
      </c>
      <c r="F547" s="9" t="n">
        <f aca="false">F546+E547</f>
        <v>9942057.9</v>
      </c>
      <c r="G547" s="37" t="str">
        <f aca="false">IF(AND(F546&lt;0,F547&gt;=0,A547&lt;=MAX(120,Premissas!$B$15*12)),(A547-1)+(-F546)/E547,"")</f>
        <v/>
      </c>
      <c r="H547" s="9" t="n">
        <f aca="false">Resultados!$E$38*$B547-Resultados!$F$38*$B547-Premissas!$B$24-Resultados!$E$38*$B547*(Premissas!$B$14/100)</f>
        <v>24432.4</v>
      </c>
      <c r="I547" s="9" t="n">
        <f aca="false">H547-$C547</f>
        <v>24432.4</v>
      </c>
      <c r="J547" s="9" t="n">
        <f aca="false">J546+I547</f>
        <v>12859352.2800001</v>
      </c>
      <c r="K547" s="37" t="str">
        <f aca="false">IF(AND(J546&lt;0,J547&gt;=0,A547&lt;=MAX(120,Premissas!$B$15*12)),(A547-1)+(-J546)/I547,"")</f>
        <v/>
      </c>
      <c r="L547" s="9" t="n">
        <f aca="false">Resultados!$E$39*$B547-Resultados!$F$39*$B547-Premissas!$B$24-Resultados!$E$39*$B547*(Premissas!$B$14/100)</f>
        <v>29837.8</v>
      </c>
      <c r="M547" s="9" t="n">
        <f aca="false">L547-$C547</f>
        <v>29837.8</v>
      </c>
      <c r="N547" s="9" t="n">
        <f aca="false">N546+M547</f>
        <v>15776646.6600001</v>
      </c>
      <c r="O547" s="37" t="str">
        <f aca="false">IF(AND(N546&lt;0,N547&gt;=0,A547&lt;=MAX(120,Premissas!$B$15*12)),(A547-1)+(-N546)/M547,"")</f>
        <v/>
      </c>
      <c r="P547" s="9" t="n">
        <f aca="false">Resultados!$B$19*$B547-Resultados!$B$20*$B547-Premissas!$B$24-Resultados!$B$19*$B547*(Premissas!$B$14/100)</f>
        <v>24432.4</v>
      </c>
      <c r="Q547" s="9" t="n">
        <f aca="false">P547-$C547</f>
        <v>24432.4</v>
      </c>
      <c r="R547" s="9" t="n">
        <f aca="false">R546+Q547</f>
        <v>12859352.2800001</v>
      </c>
      <c r="S547" s="37" t="str">
        <f aca="false">IF(AND(R546&lt;0,R547&gt;=0,A547&lt;=MAX(120,Premissas!$B$15*12)),(A547-1)+(-R546)/Q547,"")</f>
        <v/>
      </c>
    </row>
    <row r="548" customFormat="false" ht="15" hidden="false" customHeight="false" outlineLevel="0" collapsed="false">
      <c r="A548" s="10" t="n">
        <f aca="false">A547+1</f>
        <v>544</v>
      </c>
      <c r="B548" s="36" t="n">
        <f aca="false">IF(Premissas!$B$9&lt;=1,1,MIN(1,Premissas!$B$8/100+(1-Premissas!$B$8/100)*(A548-1)/(Premissas!$B$9-1)))</f>
        <v>1</v>
      </c>
      <c r="C548" s="9" t="n">
        <f aca="false">IF(A548&lt;=Resultados!$B$9,Resultados!$B$10,0)</f>
        <v>0</v>
      </c>
      <c r="D548" s="9" t="n">
        <f aca="false">Resultados!$E$37*$B548-Resultados!$F$37*$B548-Premissas!$B$24-Resultados!$E$37*$B548*(Premissas!$B$14/100)</f>
        <v>19027</v>
      </c>
      <c r="E548" s="9" t="n">
        <f aca="false">D548-$C548</f>
        <v>19027</v>
      </c>
      <c r="F548" s="9" t="n">
        <f aca="false">F547+E548</f>
        <v>9961084.9</v>
      </c>
      <c r="G548" s="37" t="str">
        <f aca="false">IF(AND(F547&lt;0,F548&gt;=0,A548&lt;=MAX(120,Premissas!$B$15*12)),(A548-1)+(-F547)/E548,"")</f>
        <v/>
      </c>
      <c r="H548" s="9" t="n">
        <f aca="false">Resultados!$E$38*$B548-Resultados!$F$38*$B548-Premissas!$B$24-Resultados!$E$38*$B548*(Premissas!$B$14/100)</f>
        <v>24432.4</v>
      </c>
      <c r="I548" s="9" t="n">
        <f aca="false">H548-$C548</f>
        <v>24432.4</v>
      </c>
      <c r="J548" s="9" t="n">
        <f aca="false">J547+I548</f>
        <v>12883784.6800001</v>
      </c>
      <c r="K548" s="37" t="str">
        <f aca="false">IF(AND(J547&lt;0,J548&gt;=0,A548&lt;=MAX(120,Premissas!$B$15*12)),(A548-1)+(-J547)/I548,"")</f>
        <v/>
      </c>
      <c r="L548" s="9" t="n">
        <f aca="false">Resultados!$E$39*$B548-Resultados!$F$39*$B548-Premissas!$B$24-Resultados!$E$39*$B548*(Premissas!$B$14/100)</f>
        <v>29837.8</v>
      </c>
      <c r="M548" s="9" t="n">
        <f aca="false">L548-$C548</f>
        <v>29837.8</v>
      </c>
      <c r="N548" s="9" t="n">
        <f aca="false">N547+M548</f>
        <v>15806484.4600001</v>
      </c>
      <c r="O548" s="37" t="str">
        <f aca="false">IF(AND(N547&lt;0,N548&gt;=0,A548&lt;=MAX(120,Premissas!$B$15*12)),(A548-1)+(-N547)/M548,"")</f>
        <v/>
      </c>
      <c r="P548" s="9" t="n">
        <f aca="false">Resultados!$B$19*$B548-Resultados!$B$20*$B548-Premissas!$B$24-Resultados!$B$19*$B548*(Premissas!$B$14/100)</f>
        <v>24432.4</v>
      </c>
      <c r="Q548" s="9" t="n">
        <f aca="false">P548-$C548</f>
        <v>24432.4</v>
      </c>
      <c r="R548" s="9" t="n">
        <f aca="false">R547+Q548</f>
        <v>12883784.6800001</v>
      </c>
      <c r="S548" s="37" t="str">
        <f aca="false">IF(AND(R547&lt;0,R548&gt;=0,A548&lt;=MAX(120,Premissas!$B$15*12)),(A548-1)+(-R547)/Q548,"")</f>
        <v/>
      </c>
    </row>
    <row r="549" customFormat="false" ht="15" hidden="false" customHeight="false" outlineLevel="0" collapsed="false">
      <c r="A549" s="10" t="n">
        <f aca="false">A548+1</f>
        <v>545</v>
      </c>
      <c r="B549" s="36" t="n">
        <f aca="false">IF(Premissas!$B$9&lt;=1,1,MIN(1,Premissas!$B$8/100+(1-Premissas!$B$8/100)*(A549-1)/(Premissas!$B$9-1)))</f>
        <v>1</v>
      </c>
      <c r="C549" s="9" t="n">
        <f aca="false">IF(A549&lt;=Resultados!$B$9,Resultados!$B$10,0)</f>
        <v>0</v>
      </c>
      <c r="D549" s="9" t="n">
        <f aca="false">Resultados!$E$37*$B549-Resultados!$F$37*$B549-Premissas!$B$24-Resultados!$E$37*$B549*(Premissas!$B$14/100)</f>
        <v>19027</v>
      </c>
      <c r="E549" s="9" t="n">
        <f aca="false">D549-$C549</f>
        <v>19027</v>
      </c>
      <c r="F549" s="9" t="n">
        <f aca="false">F548+E549</f>
        <v>9980111.9</v>
      </c>
      <c r="G549" s="37" t="str">
        <f aca="false">IF(AND(F548&lt;0,F549&gt;=0,A549&lt;=MAX(120,Premissas!$B$15*12)),(A549-1)+(-F548)/E549,"")</f>
        <v/>
      </c>
      <c r="H549" s="9" t="n">
        <f aca="false">Resultados!$E$38*$B549-Resultados!$F$38*$B549-Premissas!$B$24-Resultados!$E$38*$B549*(Premissas!$B$14/100)</f>
        <v>24432.4</v>
      </c>
      <c r="I549" s="9" t="n">
        <f aca="false">H549-$C549</f>
        <v>24432.4</v>
      </c>
      <c r="J549" s="9" t="n">
        <f aca="false">J548+I549</f>
        <v>12908217.0800001</v>
      </c>
      <c r="K549" s="37" t="str">
        <f aca="false">IF(AND(J548&lt;0,J549&gt;=0,A549&lt;=MAX(120,Premissas!$B$15*12)),(A549-1)+(-J548)/I549,"")</f>
        <v/>
      </c>
      <c r="L549" s="9" t="n">
        <f aca="false">Resultados!$E$39*$B549-Resultados!$F$39*$B549-Premissas!$B$24-Resultados!$E$39*$B549*(Premissas!$B$14/100)</f>
        <v>29837.8</v>
      </c>
      <c r="M549" s="9" t="n">
        <f aca="false">L549-$C549</f>
        <v>29837.8</v>
      </c>
      <c r="N549" s="9" t="n">
        <f aca="false">N548+M549</f>
        <v>15836322.2600001</v>
      </c>
      <c r="O549" s="37" t="str">
        <f aca="false">IF(AND(N548&lt;0,N549&gt;=0,A549&lt;=MAX(120,Premissas!$B$15*12)),(A549-1)+(-N548)/M549,"")</f>
        <v/>
      </c>
      <c r="P549" s="9" t="n">
        <f aca="false">Resultados!$B$19*$B549-Resultados!$B$20*$B549-Premissas!$B$24-Resultados!$B$19*$B549*(Premissas!$B$14/100)</f>
        <v>24432.4</v>
      </c>
      <c r="Q549" s="9" t="n">
        <f aca="false">P549-$C549</f>
        <v>24432.4</v>
      </c>
      <c r="R549" s="9" t="n">
        <f aca="false">R548+Q549</f>
        <v>12908217.0800001</v>
      </c>
      <c r="S549" s="37" t="str">
        <f aca="false">IF(AND(R548&lt;0,R549&gt;=0,A549&lt;=MAX(120,Premissas!$B$15*12)),(A549-1)+(-R548)/Q549,"")</f>
        <v/>
      </c>
    </row>
    <row r="550" customFormat="false" ht="15" hidden="false" customHeight="false" outlineLevel="0" collapsed="false">
      <c r="A550" s="10" t="n">
        <f aca="false">A549+1</f>
        <v>546</v>
      </c>
      <c r="B550" s="36" t="n">
        <f aca="false">IF(Premissas!$B$9&lt;=1,1,MIN(1,Premissas!$B$8/100+(1-Premissas!$B$8/100)*(A550-1)/(Premissas!$B$9-1)))</f>
        <v>1</v>
      </c>
      <c r="C550" s="9" t="n">
        <f aca="false">IF(A550&lt;=Resultados!$B$9,Resultados!$B$10,0)</f>
        <v>0</v>
      </c>
      <c r="D550" s="9" t="n">
        <f aca="false">Resultados!$E$37*$B550-Resultados!$F$37*$B550-Premissas!$B$24-Resultados!$E$37*$B550*(Premissas!$B$14/100)</f>
        <v>19027</v>
      </c>
      <c r="E550" s="9" t="n">
        <f aca="false">D550-$C550</f>
        <v>19027</v>
      </c>
      <c r="F550" s="9" t="n">
        <f aca="false">F549+E550</f>
        <v>9999138.9</v>
      </c>
      <c r="G550" s="37" t="str">
        <f aca="false">IF(AND(F549&lt;0,F550&gt;=0,A550&lt;=MAX(120,Premissas!$B$15*12)),(A550-1)+(-F549)/E550,"")</f>
        <v/>
      </c>
      <c r="H550" s="9" t="n">
        <f aca="false">Resultados!$E$38*$B550-Resultados!$F$38*$B550-Premissas!$B$24-Resultados!$E$38*$B550*(Premissas!$B$14/100)</f>
        <v>24432.4</v>
      </c>
      <c r="I550" s="9" t="n">
        <f aca="false">H550-$C550</f>
        <v>24432.4</v>
      </c>
      <c r="J550" s="9" t="n">
        <f aca="false">J549+I550</f>
        <v>12932649.4800001</v>
      </c>
      <c r="K550" s="37" t="str">
        <f aca="false">IF(AND(J549&lt;0,J550&gt;=0,A550&lt;=MAX(120,Premissas!$B$15*12)),(A550-1)+(-J549)/I550,"")</f>
        <v/>
      </c>
      <c r="L550" s="9" t="n">
        <f aca="false">Resultados!$E$39*$B550-Resultados!$F$39*$B550-Premissas!$B$24-Resultados!$E$39*$B550*(Premissas!$B$14/100)</f>
        <v>29837.8</v>
      </c>
      <c r="M550" s="9" t="n">
        <f aca="false">L550-$C550</f>
        <v>29837.8</v>
      </c>
      <c r="N550" s="9" t="n">
        <f aca="false">N549+M550</f>
        <v>15866160.0600002</v>
      </c>
      <c r="O550" s="37" t="str">
        <f aca="false">IF(AND(N549&lt;0,N550&gt;=0,A550&lt;=MAX(120,Premissas!$B$15*12)),(A550-1)+(-N549)/M550,"")</f>
        <v/>
      </c>
      <c r="P550" s="9" t="n">
        <f aca="false">Resultados!$B$19*$B550-Resultados!$B$20*$B550-Premissas!$B$24-Resultados!$B$19*$B550*(Premissas!$B$14/100)</f>
        <v>24432.4</v>
      </c>
      <c r="Q550" s="9" t="n">
        <f aca="false">P550-$C550</f>
        <v>24432.4</v>
      </c>
      <c r="R550" s="9" t="n">
        <f aca="false">R549+Q550</f>
        <v>12932649.4800001</v>
      </c>
      <c r="S550" s="37" t="str">
        <f aca="false">IF(AND(R549&lt;0,R550&gt;=0,A550&lt;=MAX(120,Premissas!$B$15*12)),(A550-1)+(-R549)/Q550,"")</f>
        <v/>
      </c>
    </row>
    <row r="551" customFormat="false" ht="15" hidden="false" customHeight="false" outlineLevel="0" collapsed="false">
      <c r="A551" s="10" t="n">
        <f aca="false">A550+1</f>
        <v>547</v>
      </c>
      <c r="B551" s="36" t="n">
        <f aca="false">IF(Premissas!$B$9&lt;=1,1,MIN(1,Premissas!$B$8/100+(1-Premissas!$B$8/100)*(A551-1)/(Premissas!$B$9-1)))</f>
        <v>1</v>
      </c>
      <c r="C551" s="9" t="n">
        <f aca="false">IF(A551&lt;=Resultados!$B$9,Resultados!$B$10,0)</f>
        <v>0</v>
      </c>
      <c r="D551" s="9" t="n">
        <f aca="false">Resultados!$E$37*$B551-Resultados!$F$37*$B551-Premissas!$B$24-Resultados!$E$37*$B551*(Premissas!$B$14/100)</f>
        <v>19027</v>
      </c>
      <c r="E551" s="9" t="n">
        <f aca="false">D551-$C551</f>
        <v>19027</v>
      </c>
      <c r="F551" s="9" t="n">
        <f aca="false">F550+E551</f>
        <v>10018165.9</v>
      </c>
      <c r="G551" s="37" t="str">
        <f aca="false">IF(AND(F550&lt;0,F551&gt;=0,A551&lt;=MAX(120,Premissas!$B$15*12)),(A551-1)+(-F550)/E551,"")</f>
        <v/>
      </c>
      <c r="H551" s="9" t="n">
        <f aca="false">Resultados!$E$38*$B551-Resultados!$F$38*$B551-Premissas!$B$24-Resultados!$E$38*$B551*(Premissas!$B$14/100)</f>
        <v>24432.4</v>
      </c>
      <c r="I551" s="9" t="n">
        <f aca="false">H551-$C551</f>
        <v>24432.4</v>
      </c>
      <c r="J551" s="9" t="n">
        <f aca="false">J550+I551</f>
        <v>12957081.8800001</v>
      </c>
      <c r="K551" s="37" t="str">
        <f aca="false">IF(AND(J550&lt;0,J551&gt;=0,A551&lt;=MAX(120,Premissas!$B$15*12)),(A551-1)+(-J550)/I551,"")</f>
        <v/>
      </c>
      <c r="L551" s="9" t="n">
        <f aca="false">Resultados!$E$39*$B551-Resultados!$F$39*$B551-Premissas!$B$24-Resultados!$E$39*$B551*(Premissas!$B$14/100)</f>
        <v>29837.8</v>
      </c>
      <c r="M551" s="9" t="n">
        <f aca="false">L551-$C551</f>
        <v>29837.8</v>
      </c>
      <c r="N551" s="9" t="n">
        <f aca="false">N550+M551</f>
        <v>15895997.8600002</v>
      </c>
      <c r="O551" s="37" t="str">
        <f aca="false">IF(AND(N550&lt;0,N551&gt;=0,A551&lt;=MAX(120,Premissas!$B$15*12)),(A551-1)+(-N550)/M551,"")</f>
        <v/>
      </c>
      <c r="P551" s="9" t="n">
        <f aca="false">Resultados!$B$19*$B551-Resultados!$B$20*$B551-Premissas!$B$24-Resultados!$B$19*$B551*(Premissas!$B$14/100)</f>
        <v>24432.4</v>
      </c>
      <c r="Q551" s="9" t="n">
        <f aca="false">P551-$C551</f>
        <v>24432.4</v>
      </c>
      <c r="R551" s="9" t="n">
        <f aca="false">R550+Q551</f>
        <v>12957081.8800001</v>
      </c>
      <c r="S551" s="37" t="str">
        <f aca="false">IF(AND(R550&lt;0,R551&gt;=0,A551&lt;=MAX(120,Premissas!$B$15*12)),(A551-1)+(-R550)/Q551,"")</f>
        <v/>
      </c>
    </row>
    <row r="552" customFormat="false" ht="15" hidden="false" customHeight="false" outlineLevel="0" collapsed="false">
      <c r="A552" s="10" t="n">
        <f aca="false">A551+1</f>
        <v>548</v>
      </c>
      <c r="B552" s="36" t="n">
        <f aca="false">IF(Premissas!$B$9&lt;=1,1,MIN(1,Premissas!$B$8/100+(1-Premissas!$B$8/100)*(A552-1)/(Premissas!$B$9-1)))</f>
        <v>1</v>
      </c>
      <c r="C552" s="9" t="n">
        <f aca="false">IF(A552&lt;=Resultados!$B$9,Resultados!$B$10,0)</f>
        <v>0</v>
      </c>
      <c r="D552" s="9" t="n">
        <f aca="false">Resultados!$E$37*$B552-Resultados!$F$37*$B552-Premissas!$B$24-Resultados!$E$37*$B552*(Premissas!$B$14/100)</f>
        <v>19027</v>
      </c>
      <c r="E552" s="9" t="n">
        <f aca="false">D552-$C552</f>
        <v>19027</v>
      </c>
      <c r="F552" s="9" t="n">
        <f aca="false">F551+E552</f>
        <v>10037192.9</v>
      </c>
      <c r="G552" s="37" t="str">
        <f aca="false">IF(AND(F551&lt;0,F552&gt;=0,A552&lt;=MAX(120,Premissas!$B$15*12)),(A552-1)+(-F551)/E552,"")</f>
        <v/>
      </c>
      <c r="H552" s="9" t="n">
        <f aca="false">Resultados!$E$38*$B552-Resultados!$F$38*$B552-Premissas!$B$24-Resultados!$E$38*$B552*(Premissas!$B$14/100)</f>
        <v>24432.4</v>
      </c>
      <c r="I552" s="9" t="n">
        <f aca="false">H552-$C552</f>
        <v>24432.4</v>
      </c>
      <c r="J552" s="9" t="n">
        <f aca="false">J551+I552</f>
        <v>12981514.2800001</v>
      </c>
      <c r="K552" s="37" t="str">
        <f aca="false">IF(AND(J551&lt;0,J552&gt;=0,A552&lt;=MAX(120,Premissas!$B$15*12)),(A552-1)+(-J551)/I552,"")</f>
        <v/>
      </c>
      <c r="L552" s="9" t="n">
        <f aca="false">Resultados!$E$39*$B552-Resultados!$F$39*$B552-Premissas!$B$24-Resultados!$E$39*$B552*(Premissas!$B$14/100)</f>
        <v>29837.8</v>
      </c>
      <c r="M552" s="9" t="n">
        <f aca="false">L552-$C552</f>
        <v>29837.8</v>
      </c>
      <c r="N552" s="9" t="n">
        <f aca="false">N551+M552</f>
        <v>15925835.6600002</v>
      </c>
      <c r="O552" s="37" t="str">
        <f aca="false">IF(AND(N551&lt;0,N552&gt;=0,A552&lt;=MAX(120,Premissas!$B$15*12)),(A552-1)+(-N551)/M552,"")</f>
        <v/>
      </c>
      <c r="P552" s="9" t="n">
        <f aca="false">Resultados!$B$19*$B552-Resultados!$B$20*$B552-Premissas!$B$24-Resultados!$B$19*$B552*(Premissas!$B$14/100)</f>
        <v>24432.4</v>
      </c>
      <c r="Q552" s="9" t="n">
        <f aca="false">P552-$C552</f>
        <v>24432.4</v>
      </c>
      <c r="R552" s="9" t="n">
        <f aca="false">R551+Q552</f>
        <v>12981514.2800001</v>
      </c>
      <c r="S552" s="37" t="str">
        <f aca="false">IF(AND(R551&lt;0,R552&gt;=0,A552&lt;=MAX(120,Premissas!$B$15*12)),(A552-1)+(-R551)/Q552,"")</f>
        <v/>
      </c>
    </row>
    <row r="553" customFormat="false" ht="15" hidden="false" customHeight="false" outlineLevel="0" collapsed="false">
      <c r="A553" s="10" t="n">
        <f aca="false">A552+1</f>
        <v>549</v>
      </c>
      <c r="B553" s="36" t="n">
        <f aca="false">IF(Premissas!$B$9&lt;=1,1,MIN(1,Premissas!$B$8/100+(1-Premissas!$B$8/100)*(A553-1)/(Premissas!$B$9-1)))</f>
        <v>1</v>
      </c>
      <c r="C553" s="9" t="n">
        <f aca="false">IF(A553&lt;=Resultados!$B$9,Resultados!$B$10,0)</f>
        <v>0</v>
      </c>
      <c r="D553" s="9" t="n">
        <f aca="false">Resultados!$E$37*$B553-Resultados!$F$37*$B553-Premissas!$B$24-Resultados!$E$37*$B553*(Premissas!$B$14/100)</f>
        <v>19027</v>
      </c>
      <c r="E553" s="9" t="n">
        <f aca="false">D553-$C553</f>
        <v>19027</v>
      </c>
      <c r="F553" s="9" t="n">
        <f aca="false">F552+E553</f>
        <v>10056219.9</v>
      </c>
      <c r="G553" s="37" t="str">
        <f aca="false">IF(AND(F552&lt;0,F553&gt;=0,A553&lt;=MAX(120,Premissas!$B$15*12)),(A553-1)+(-F552)/E553,"")</f>
        <v/>
      </c>
      <c r="H553" s="9" t="n">
        <f aca="false">Resultados!$E$38*$B553-Resultados!$F$38*$B553-Premissas!$B$24-Resultados!$E$38*$B553*(Premissas!$B$14/100)</f>
        <v>24432.4</v>
      </c>
      <c r="I553" s="9" t="n">
        <f aca="false">H553-$C553</f>
        <v>24432.4</v>
      </c>
      <c r="J553" s="9" t="n">
        <f aca="false">J552+I553</f>
        <v>13005946.6800001</v>
      </c>
      <c r="K553" s="37" t="str">
        <f aca="false">IF(AND(J552&lt;0,J553&gt;=0,A553&lt;=MAX(120,Premissas!$B$15*12)),(A553-1)+(-J552)/I553,"")</f>
        <v/>
      </c>
      <c r="L553" s="9" t="n">
        <f aca="false">Resultados!$E$39*$B553-Resultados!$F$39*$B553-Premissas!$B$24-Resultados!$E$39*$B553*(Premissas!$B$14/100)</f>
        <v>29837.8</v>
      </c>
      <c r="M553" s="9" t="n">
        <f aca="false">L553-$C553</f>
        <v>29837.8</v>
      </c>
      <c r="N553" s="9" t="n">
        <f aca="false">N552+M553</f>
        <v>15955673.4600002</v>
      </c>
      <c r="O553" s="37" t="str">
        <f aca="false">IF(AND(N552&lt;0,N553&gt;=0,A553&lt;=MAX(120,Premissas!$B$15*12)),(A553-1)+(-N552)/M553,"")</f>
        <v/>
      </c>
      <c r="P553" s="9" t="n">
        <f aca="false">Resultados!$B$19*$B553-Resultados!$B$20*$B553-Premissas!$B$24-Resultados!$B$19*$B553*(Premissas!$B$14/100)</f>
        <v>24432.4</v>
      </c>
      <c r="Q553" s="9" t="n">
        <f aca="false">P553-$C553</f>
        <v>24432.4</v>
      </c>
      <c r="R553" s="9" t="n">
        <f aca="false">R552+Q553</f>
        <v>13005946.6800001</v>
      </c>
      <c r="S553" s="37" t="str">
        <f aca="false">IF(AND(R552&lt;0,R553&gt;=0,A553&lt;=MAX(120,Premissas!$B$15*12)),(A553-1)+(-R552)/Q553,"")</f>
        <v/>
      </c>
    </row>
    <row r="554" customFormat="false" ht="15" hidden="false" customHeight="false" outlineLevel="0" collapsed="false">
      <c r="A554" s="10" t="n">
        <f aca="false">A553+1</f>
        <v>550</v>
      </c>
      <c r="B554" s="36" t="n">
        <f aca="false">IF(Premissas!$B$9&lt;=1,1,MIN(1,Premissas!$B$8/100+(1-Premissas!$B$8/100)*(A554-1)/(Premissas!$B$9-1)))</f>
        <v>1</v>
      </c>
      <c r="C554" s="9" t="n">
        <f aca="false">IF(A554&lt;=Resultados!$B$9,Resultados!$B$10,0)</f>
        <v>0</v>
      </c>
      <c r="D554" s="9" t="n">
        <f aca="false">Resultados!$E$37*$B554-Resultados!$F$37*$B554-Premissas!$B$24-Resultados!$E$37*$B554*(Premissas!$B$14/100)</f>
        <v>19027</v>
      </c>
      <c r="E554" s="9" t="n">
        <f aca="false">D554-$C554</f>
        <v>19027</v>
      </c>
      <c r="F554" s="9" t="n">
        <f aca="false">F553+E554</f>
        <v>10075246.9</v>
      </c>
      <c r="G554" s="37" t="str">
        <f aca="false">IF(AND(F553&lt;0,F554&gt;=0,A554&lt;=MAX(120,Premissas!$B$15*12)),(A554-1)+(-F553)/E554,"")</f>
        <v/>
      </c>
      <c r="H554" s="9" t="n">
        <f aca="false">Resultados!$E$38*$B554-Resultados!$F$38*$B554-Premissas!$B$24-Resultados!$E$38*$B554*(Premissas!$B$14/100)</f>
        <v>24432.4</v>
      </c>
      <c r="I554" s="9" t="n">
        <f aca="false">H554-$C554</f>
        <v>24432.4</v>
      </c>
      <c r="J554" s="9" t="n">
        <f aca="false">J553+I554</f>
        <v>13030379.0800001</v>
      </c>
      <c r="K554" s="37" t="str">
        <f aca="false">IF(AND(J553&lt;0,J554&gt;=0,A554&lt;=MAX(120,Premissas!$B$15*12)),(A554-1)+(-J553)/I554,"")</f>
        <v/>
      </c>
      <c r="L554" s="9" t="n">
        <f aca="false">Resultados!$E$39*$B554-Resultados!$F$39*$B554-Premissas!$B$24-Resultados!$E$39*$B554*(Premissas!$B$14/100)</f>
        <v>29837.8</v>
      </c>
      <c r="M554" s="9" t="n">
        <f aca="false">L554-$C554</f>
        <v>29837.8</v>
      </c>
      <c r="N554" s="9" t="n">
        <f aca="false">N553+M554</f>
        <v>15985511.2600002</v>
      </c>
      <c r="O554" s="37" t="str">
        <f aca="false">IF(AND(N553&lt;0,N554&gt;=0,A554&lt;=MAX(120,Premissas!$B$15*12)),(A554-1)+(-N553)/M554,"")</f>
        <v/>
      </c>
      <c r="P554" s="9" t="n">
        <f aca="false">Resultados!$B$19*$B554-Resultados!$B$20*$B554-Premissas!$B$24-Resultados!$B$19*$B554*(Premissas!$B$14/100)</f>
        <v>24432.4</v>
      </c>
      <c r="Q554" s="9" t="n">
        <f aca="false">P554-$C554</f>
        <v>24432.4</v>
      </c>
      <c r="R554" s="9" t="n">
        <f aca="false">R553+Q554</f>
        <v>13030379.0800001</v>
      </c>
      <c r="S554" s="37" t="str">
        <f aca="false">IF(AND(R553&lt;0,R554&gt;=0,A554&lt;=MAX(120,Premissas!$B$15*12)),(A554-1)+(-R553)/Q554,"")</f>
        <v/>
      </c>
    </row>
    <row r="555" customFormat="false" ht="15" hidden="false" customHeight="false" outlineLevel="0" collapsed="false">
      <c r="A555" s="10" t="n">
        <f aca="false">A554+1</f>
        <v>551</v>
      </c>
      <c r="B555" s="36" t="n">
        <f aca="false">IF(Premissas!$B$9&lt;=1,1,MIN(1,Premissas!$B$8/100+(1-Premissas!$B$8/100)*(A555-1)/(Premissas!$B$9-1)))</f>
        <v>1</v>
      </c>
      <c r="C555" s="9" t="n">
        <f aca="false">IF(A555&lt;=Resultados!$B$9,Resultados!$B$10,0)</f>
        <v>0</v>
      </c>
      <c r="D555" s="9" t="n">
        <f aca="false">Resultados!$E$37*$B555-Resultados!$F$37*$B555-Premissas!$B$24-Resultados!$E$37*$B555*(Premissas!$B$14/100)</f>
        <v>19027</v>
      </c>
      <c r="E555" s="9" t="n">
        <f aca="false">D555-$C555</f>
        <v>19027</v>
      </c>
      <c r="F555" s="9" t="n">
        <f aca="false">F554+E555</f>
        <v>10094273.9</v>
      </c>
      <c r="G555" s="37" t="str">
        <f aca="false">IF(AND(F554&lt;0,F555&gt;=0,A555&lt;=MAX(120,Premissas!$B$15*12)),(A555-1)+(-F554)/E555,"")</f>
        <v/>
      </c>
      <c r="H555" s="9" t="n">
        <f aca="false">Resultados!$E$38*$B555-Resultados!$F$38*$B555-Premissas!$B$24-Resultados!$E$38*$B555*(Premissas!$B$14/100)</f>
        <v>24432.4</v>
      </c>
      <c r="I555" s="9" t="n">
        <f aca="false">H555-$C555</f>
        <v>24432.4</v>
      </c>
      <c r="J555" s="9" t="n">
        <f aca="false">J554+I555</f>
        <v>13054811.4800001</v>
      </c>
      <c r="K555" s="37" t="str">
        <f aca="false">IF(AND(J554&lt;0,J555&gt;=0,A555&lt;=MAX(120,Premissas!$B$15*12)),(A555-1)+(-J554)/I555,"")</f>
        <v/>
      </c>
      <c r="L555" s="9" t="n">
        <f aca="false">Resultados!$E$39*$B555-Resultados!$F$39*$B555-Premissas!$B$24-Resultados!$E$39*$B555*(Premissas!$B$14/100)</f>
        <v>29837.8</v>
      </c>
      <c r="M555" s="9" t="n">
        <f aca="false">L555-$C555</f>
        <v>29837.8</v>
      </c>
      <c r="N555" s="9" t="n">
        <f aca="false">N554+M555</f>
        <v>16015349.0600002</v>
      </c>
      <c r="O555" s="37" t="str">
        <f aca="false">IF(AND(N554&lt;0,N555&gt;=0,A555&lt;=MAX(120,Premissas!$B$15*12)),(A555-1)+(-N554)/M555,"")</f>
        <v/>
      </c>
      <c r="P555" s="9" t="n">
        <f aca="false">Resultados!$B$19*$B555-Resultados!$B$20*$B555-Premissas!$B$24-Resultados!$B$19*$B555*(Premissas!$B$14/100)</f>
        <v>24432.4</v>
      </c>
      <c r="Q555" s="9" t="n">
        <f aca="false">P555-$C555</f>
        <v>24432.4</v>
      </c>
      <c r="R555" s="9" t="n">
        <f aca="false">R554+Q555</f>
        <v>13054811.4800001</v>
      </c>
      <c r="S555" s="37" t="str">
        <f aca="false">IF(AND(R554&lt;0,R555&gt;=0,A555&lt;=MAX(120,Premissas!$B$15*12)),(A555-1)+(-R554)/Q555,"")</f>
        <v/>
      </c>
    </row>
    <row r="556" customFormat="false" ht="15" hidden="false" customHeight="false" outlineLevel="0" collapsed="false">
      <c r="A556" s="10" t="n">
        <f aca="false">A555+1</f>
        <v>552</v>
      </c>
      <c r="B556" s="36" t="n">
        <f aca="false">IF(Premissas!$B$9&lt;=1,1,MIN(1,Premissas!$B$8/100+(1-Premissas!$B$8/100)*(A556-1)/(Premissas!$B$9-1)))</f>
        <v>1</v>
      </c>
      <c r="C556" s="9" t="n">
        <f aca="false">IF(A556&lt;=Resultados!$B$9,Resultados!$B$10,0)</f>
        <v>0</v>
      </c>
      <c r="D556" s="9" t="n">
        <f aca="false">Resultados!$E$37*$B556-Resultados!$F$37*$B556-Premissas!$B$24-Resultados!$E$37*$B556*(Premissas!$B$14/100)</f>
        <v>19027</v>
      </c>
      <c r="E556" s="9" t="n">
        <f aca="false">D556-$C556</f>
        <v>19027</v>
      </c>
      <c r="F556" s="9" t="n">
        <f aca="false">F555+E556</f>
        <v>10113300.9</v>
      </c>
      <c r="G556" s="37" t="str">
        <f aca="false">IF(AND(F555&lt;0,F556&gt;=0,A556&lt;=MAX(120,Premissas!$B$15*12)),(A556-1)+(-F555)/E556,"")</f>
        <v/>
      </c>
      <c r="H556" s="9" t="n">
        <f aca="false">Resultados!$E$38*$B556-Resultados!$F$38*$B556-Premissas!$B$24-Resultados!$E$38*$B556*(Premissas!$B$14/100)</f>
        <v>24432.4</v>
      </c>
      <c r="I556" s="9" t="n">
        <f aca="false">H556-$C556</f>
        <v>24432.4</v>
      </c>
      <c r="J556" s="9" t="n">
        <f aca="false">J555+I556</f>
        <v>13079243.8800001</v>
      </c>
      <c r="K556" s="37" t="str">
        <f aca="false">IF(AND(J555&lt;0,J556&gt;=0,A556&lt;=MAX(120,Premissas!$B$15*12)),(A556-1)+(-J555)/I556,"")</f>
        <v/>
      </c>
      <c r="L556" s="9" t="n">
        <f aca="false">Resultados!$E$39*$B556-Resultados!$F$39*$B556-Premissas!$B$24-Resultados!$E$39*$B556*(Premissas!$B$14/100)</f>
        <v>29837.8</v>
      </c>
      <c r="M556" s="9" t="n">
        <f aca="false">L556-$C556</f>
        <v>29837.8</v>
      </c>
      <c r="N556" s="9" t="n">
        <f aca="false">N555+M556</f>
        <v>16045186.8600002</v>
      </c>
      <c r="O556" s="37" t="str">
        <f aca="false">IF(AND(N555&lt;0,N556&gt;=0,A556&lt;=MAX(120,Premissas!$B$15*12)),(A556-1)+(-N555)/M556,"")</f>
        <v/>
      </c>
      <c r="P556" s="9" t="n">
        <f aca="false">Resultados!$B$19*$B556-Resultados!$B$20*$B556-Premissas!$B$24-Resultados!$B$19*$B556*(Premissas!$B$14/100)</f>
        <v>24432.4</v>
      </c>
      <c r="Q556" s="9" t="n">
        <f aca="false">P556-$C556</f>
        <v>24432.4</v>
      </c>
      <c r="R556" s="9" t="n">
        <f aca="false">R555+Q556</f>
        <v>13079243.8800001</v>
      </c>
      <c r="S556" s="37" t="str">
        <f aca="false">IF(AND(R555&lt;0,R556&gt;=0,A556&lt;=MAX(120,Premissas!$B$15*12)),(A556-1)+(-R555)/Q556,"")</f>
        <v/>
      </c>
    </row>
    <row r="557" customFormat="false" ht="15" hidden="false" customHeight="false" outlineLevel="0" collapsed="false">
      <c r="A557" s="10" t="n">
        <f aca="false">A556+1</f>
        <v>553</v>
      </c>
      <c r="B557" s="36" t="n">
        <f aca="false">IF(Premissas!$B$9&lt;=1,1,MIN(1,Premissas!$B$8/100+(1-Premissas!$B$8/100)*(A557-1)/(Premissas!$B$9-1)))</f>
        <v>1</v>
      </c>
      <c r="C557" s="9" t="n">
        <f aca="false">IF(A557&lt;=Resultados!$B$9,Resultados!$B$10,0)</f>
        <v>0</v>
      </c>
      <c r="D557" s="9" t="n">
        <f aca="false">Resultados!$E$37*$B557-Resultados!$F$37*$B557-Premissas!$B$24-Resultados!$E$37*$B557*(Premissas!$B$14/100)</f>
        <v>19027</v>
      </c>
      <c r="E557" s="9" t="n">
        <f aca="false">D557-$C557</f>
        <v>19027</v>
      </c>
      <c r="F557" s="9" t="n">
        <f aca="false">F556+E557</f>
        <v>10132327.9</v>
      </c>
      <c r="G557" s="37" t="str">
        <f aca="false">IF(AND(F556&lt;0,F557&gt;=0,A557&lt;=MAX(120,Premissas!$B$15*12)),(A557-1)+(-F556)/E557,"")</f>
        <v/>
      </c>
      <c r="H557" s="9" t="n">
        <f aca="false">Resultados!$E$38*$B557-Resultados!$F$38*$B557-Premissas!$B$24-Resultados!$E$38*$B557*(Premissas!$B$14/100)</f>
        <v>24432.4</v>
      </c>
      <c r="I557" s="9" t="n">
        <f aca="false">H557-$C557</f>
        <v>24432.4</v>
      </c>
      <c r="J557" s="9" t="n">
        <f aca="false">J556+I557</f>
        <v>13103676.2800001</v>
      </c>
      <c r="K557" s="37" t="str">
        <f aca="false">IF(AND(J556&lt;0,J557&gt;=0,A557&lt;=MAX(120,Premissas!$B$15*12)),(A557-1)+(-J556)/I557,"")</f>
        <v/>
      </c>
      <c r="L557" s="9" t="n">
        <f aca="false">Resultados!$E$39*$B557-Resultados!$F$39*$B557-Premissas!$B$24-Resultados!$E$39*$B557*(Premissas!$B$14/100)</f>
        <v>29837.8</v>
      </c>
      <c r="M557" s="9" t="n">
        <f aca="false">L557-$C557</f>
        <v>29837.8</v>
      </c>
      <c r="N557" s="9" t="n">
        <f aca="false">N556+M557</f>
        <v>16075024.6600002</v>
      </c>
      <c r="O557" s="37" t="str">
        <f aca="false">IF(AND(N556&lt;0,N557&gt;=0,A557&lt;=MAX(120,Premissas!$B$15*12)),(A557-1)+(-N556)/M557,"")</f>
        <v/>
      </c>
      <c r="P557" s="9" t="n">
        <f aca="false">Resultados!$B$19*$B557-Resultados!$B$20*$B557-Premissas!$B$24-Resultados!$B$19*$B557*(Premissas!$B$14/100)</f>
        <v>24432.4</v>
      </c>
      <c r="Q557" s="9" t="n">
        <f aca="false">P557-$C557</f>
        <v>24432.4</v>
      </c>
      <c r="R557" s="9" t="n">
        <f aca="false">R556+Q557</f>
        <v>13103676.2800001</v>
      </c>
      <c r="S557" s="37" t="str">
        <f aca="false">IF(AND(R556&lt;0,R557&gt;=0,A557&lt;=MAX(120,Premissas!$B$15*12)),(A557-1)+(-R556)/Q557,"")</f>
        <v/>
      </c>
    </row>
    <row r="558" customFormat="false" ht="15" hidden="false" customHeight="false" outlineLevel="0" collapsed="false">
      <c r="A558" s="10" t="n">
        <f aca="false">A557+1</f>
        <v>554</v>
      </c>
      <c r="B558" s="36" t="n">
        <f aca="false">IF(Premissas!$B$9&lt;=1,1,MIN(1,Premissas!$B$8/100+(1-Premissas!$B$8/100)*(A558-1)/(Premissas!$B$9-1)))</f>
        <v>1</v>
      </c>
      <c r="C558" s="9" t="n">
        <f aca="false">IF(A558&lt;=Resultados!$B$9,Resultados!$B$10,0)</f>
        <v>0</v>
      </c>
      <c r="D558" s="9" t="n">
        <f aca="false">Resultados!$E$37*$B558-Resultados!$F$37*$B558-Premissas!$B$24-Resultados!$E$37*$B558*(Premissas!$B$14/100)</f>
        <v>19027</v>
      </c>
      <c r="E558" s="9" t="n">
        <f aca="false">D558-$C558</f>
        <v>19027</v>
      </c>
      <c r="F558" s="9" t="n">
        <f aca="false">F557+E558</f>
        <v>10151354.9</v>
      </c>
      <c r="G558" s="37" t="str">
        <f aca="false">IF(AND(F557&lt;0,F558&gt;=0,A558&lt;=MAX(120,Premissas!$B$15*12)),(A558-1)+(-F557)/E558,"")</f>
        <v/>
      </c>
      <c r="H558" s="9" t="n">
        <f aca="false">Resultados!$E$38*$B558-Resultados!$F$38*$B558-Premissas!$B$24-Resultados!$E$38*$B558*(Premissas!$B$14/100)</f>
        <v>24432.4</v>
      </c>
      <c r="I558" s="9" t="n">
        <f aca="false">H558-$C558</f>
        <v>24432.4</v>
      </c>
      <c r="J558" s="9" t="n">
        <f aca="false">J557+I558</f>
        <v>13128108.6800001</v>
      </c>
      <c r="K558" s="37" t="str">
        <f aca="false">IF(AND(J557&lt;0,J558&gt;=0,A558&lt;=MAX(120,Premissas!$B$15*12)),(A558-1)+(-J557)/I558,"")</f>
        <v/>
      </c>
      <c r="L558" s="9" t="n">
        <f aca="false">Resultados!$E$39*$B558-Resultados!$F$39*$B558-Premissas!$B$24-Resultados!$E$39*$B558*(Premissas!$B$14/100)</f>
        <v>29837.8</v>
      </c>
      <c r="M558" s="9" t="n">
        <f aca="false">L558-$C558</f>
        <v>29837.8</v>
      </c>
      <c r="N558" s="9" t="n">
        <f aca="false">N557+M558</f>
        <v>16104862.4600002</v>
      </c>
      <c r="O558" s="37" t="str">
        <f aca="false">IF(AND(N557&lt;0,N558&gt;=0,A558&lt;=MAX(120,Premissas!$B$15*12)),(A558-1)+(-N557)/M558,"")</f>
        <v/>
      </c>
      <c r="P558" s="9" t="n">
        <f aca="false">Resultados!$B$19*$B558-Resultados!$B$20*$B558-Premissas!$B$24-Resultados!$B$19*$B558*(Premissas!$B$14/100)</f>
        <v>24432.4</v>
      </c>
      <c r="Q558" s="9" t="n">
        <f aca="false">P558-$C558</f>
        <v>24432.4</v>
      </c>
      <c r="R558" s="9" t="n">
        <f aca="false">R557+Q558</f>
        <v>13128108.6800001</v>
      </c>
      <c r="S558" s="37" t="str">
        <f aca="false">IF(AND(R557&lt;0,R558&gt;=0,A558&lt;=MAX(120,Premissas!$B$15*12)),(A558-1)+(-R557)/Q558,"")</f>
        <v/>
      </c>
    </row>
    <row r="559" customFormat="false" ht="15" hidden="false" customHeight="false" outlineLevel="0" collapsed="false">
      <c r="A559" s="10" t="n">
        <f aca="false">A558+1</f>
        <v>555</v>
      </c>
      <c r="B559" s="36" t="n">
        <f aca="false">IF(Premissas!$B$9&lt;=1,1,MIN(1,Premissas!$B$8/100+(1-Premissas!$B$8/100)*(A559-1)/(Premissas!$B$9-1)))</f>
        <v>1</v>
      </c>
      <c r="C559" s="9" t="n">
        <f aca="false">IF(A559&lt;=Resultados!$B$9,Resultados!$B$10,0)</f>
        <v>0</v>
      </c>
      <c r="D559" s="9" t="n">
        <f aca="false">Resultados!$E$37*$B559-Resultados!$F$37*$B559-Premissas!$B$24-Resultados!$E$37*$B559*(Premissas!$B$14/100)</f>
        <v>19027</v>
      </c>
      <c r="E559" s="9" t="n">
        <f aca="false">D559-$C559</f>
        <v>19027</v>
      </c>
      <c r="F559" s="9" t="n">
        <f aca="false">F558+E559</f>
        <v>10170381.9</v>
      </c>
      <c r="G559" s="37" t="str">
        <f aca="false">IF(AND(F558&lt;0,F559&gt;=0,A559&lt;=MAX(120,Premissas!$B$15*12)),(A559-1)+(-F558)/E559,"")</f>
        <v/>
      </c>
      <c r="H559" s="9" t="n">
        <f aca="false">Resultados!$E$38*$B559-Resultados!$F$38*$B559-Premissas!$B$24-Resultados!$E$38*$B559*(Premissas!$B$14/100)</f>
        <v>24432.4</v>
      </c>
      <c r="I559" s="9" t="n">
        <f aca="false">H559-$C559</f>
        <v>24432.4</v>
      </c>
      <c r="J559" s="9" t="n">
        <f aca="false">J558+I559</f>
        <v>13152541.0800001</v>
      </c>
      <c r="K559" s="37" t="str">
        <f aca="false">IF(AND(J558&lt;0,J559&gt;=0,A559&lt;=MAX(120,Premissas!$B$15*12)),(A559-1)+(-J558)/I559,"")</f>
        <v/>
      </c>
      <c r="L559" s="9" t="n">
        <f aca="false">Resultados!$E$39*$B559-Resultados!$F$39*$B559-Premissas!$B$24-Resultados!$E$39*$B559*(Premissas!$B$14/100)</f>
        <v>29837.8</v>
      </c>
      <c r="M559" s="9" t="n">
        <f aca="false">L559-$C559</f>
        <v>29837.8</v>
      </c>
      <c r="N559" s="9" t="n">
        <f aca="false">N558+M559</f>
        <v>16134700.2600002</v>
      </c>
      <c r="O559" s="37" t="str">
        <f aca="false">IF(AND(N558&lt;0,N559&gt;=0,A559&lt;=MAX(120,Premissas!$B$15*12)),(A559-1)+(-N558)/M559,"")</f>
        <v/>
      </c>
      <c r="P559" s="9" t="n">
        <f aca="false">Resultados!$B$19*$B559-Resultados!$B$20*$B559-Premissas!$B$24-Resultados!$B$19*$B559*(Premissas!$B$14/100)</f>
        <v>24432.4</v>
      </c>
      <c r="Q559" s="9" t="n">
        <f aca="false">P559-$C559</f>
        <v>24432.4</v>
      </c>
      <c r="R559" s="9" t="n">
        <f aca="false">R558+Q559</f>
        <v>13152541.0800001</v>
      </c>
      <c r="S559" s="37" t="str">
        <f aca="false">IF(AND(R558&lt;0,R559&gt;=0,A559&lt;=MAX(120,Premissas!$B$15*12)),(A559-1)+(-R558)/Q559,"")</f>
        <v/>
      </c>
    </row>
    <row r="560" customFormat="false" ht="15" hidden="false" customHeight="false" outlineLevel="0" collapsed="false">
      <c r="A560" s="10" t="n">
        <f aca="false">A559+1</f>
        <v>556</v>
      </c>
      <c r="B560" s="36" t="n">
        <f aca="false">IF(Premissas!$B$9&lt;=1,1,MIN(1,Premissas!$B$8/100+(1-Premissas!$B$8/100)*(A560-1)/(Premissas!$B$9-1)))</f>
        <v>1</v>
      </c>
      <c r="C560" s="9" t="n">
        <f aca="false">IF(A560&lt;=Resultados!$B$9,Resultados!$B$10,0)</f>
        <v>0</v>
      </c>
      <c r="D560" s="9" t="n">
        <f aca="false">Resultados!$E$37*$B560-Resultados!$F$37*$B560-Premissas!$B$24-Resultados!$E$37*$B560*(Premissas!$B$14/100)</f>
        <v>19027</v>
      </c>
      <c r="E560" s="9" t="n">
        <f aca="false">D560-$C560</f>
        <v>19027</v>
      </c>
      <c r="F560" s="9" t="n">
        <f aca="false">F559+E560</f>
        <v>10189408.9</v>
      </c>
      <c r="G560" s="37" t="str">
        <f aca="false">IF(AND(F559&lt;0,F560&gt;=0,A560&lt;=MAX(120,Premissas!$B$15*12)),(A560-1)+(-F559)/E560,"")</f>
        <v/>
      </c>
      <c r="H560" s="9" t="n">
        <f aca="false">Resultados!$E$38*$B560-Resultados!$F$38*$B560-Premissas!$B$24-Resultados!$E$38*$B560*(Premissas!$B$14/100)</f>
        <v>24432.4</v>
      </c>
      <c r="I560" s="9" t="n">
        <f aca="false">H560-$C560</f>
        <v>24432.4</v>
      </c>
      <c r="J560" s="9" t="n">
        <f aca="false">J559+I560</f>
        <v>13176973.4800001</v>
      </c>
      <c r="K560" s="37" t="str">
        <f aca="false">IF(AND(J559&lt;0,J560&gt;=0,A560&lt;=MAX(120,Premissas!$B$15*12)),(A560-1)+(-J559)/I560,"")</f>
        <v/>
      </c>
      <c r="L560" s="9" t="n">
        <f aca="false">Resultados!$E$39*$B560-Resultados!$F$39*$B560-Premissas!$B$24-Resultados!$E$39*$B560*(Premissas!$B$14/100)</f>
        <v>29837.8</v>
      </c>
      <c r="M560" s="9" t="n">
        <f aca="false">L560-$C560</f>
        <v>29837.8</v>
      </c>
      <c r="N560" s="9" t="n">
        <f aca="false">N559+M560</f>
        <v>16164538.0600002</v>
      </c>
      <c r="O560" s="37" t="str">
        <f aca="false">IF(AND(N559&lt;0,N560&gt;=0,A560&lt;=MAX(120,Premissas!$B$15*12)),(A560-1)+(-N559)/M560,"")</f>
        <v/>
      </c>
      <c r="P560" s="9" t="n">
        <f aca="false">Resultados!$B$19*$B560-Resultados!$B$20*$B560-Premissas!$B$24-Resultados!$B$19*$B560*(Premissas!$B$14/100)</f>
        <v>24432.4</v>
      </c>
      <c r="Q560" s="9" t="n">
        <f aca="false">P560-$C560</f>
        <v>24432.4</v>
      </c>
      <c r="R560" s="9" t="n">
        <f aca="false">R559+Q560</f>
        <v>13176973.4800001</v>
      </c>
      <c r="S560" s="37" t="str">
        <f aca="false">IF(AND(R559&lt;0,R560&gt;=0,A560&lt;=MAX(120,Premissas!$B$15*12)),(A560-1)+(-R559)/Q560,"")</f>
        <v/>
      </c>
    </row>
    <row r="561" customFormat="false" ht="15" hidden="false" customHeight="false" outlineLevel="0" collapsed="false">
      <c r="A561" s="10" t="n">
        <f aca="false">A560+1</f>
        <v>557</v>
      </c>
      <c r="B561" s="36" t="n">
        <f aca="false">IF(Premissas!$B$9&lt;=1,1,MIN(1,Premissas!$B$8/100+(1-Premissas!$B$8/100)*(A561-1)/(Premissas!$B$9-1)))</f>
        <v>1</v>
      </c>
      <c r="C561" s="9" t="n">
        <f aca="false">IF(A561&lt;=Resultados!$B$9,Resultados!$B$10,0)</f>
        <v>0</v>
      </c>
      <c r="D561" s="9" t="n">
        <f aca="false">Resultados!$E$37*$B561-Resultados!$F$37*$B561-Premissas!$B$24-Resultados!$E$37*$B561*(Premissas!$B$14/100)</f>
        <v>19027</v>
      </c>
      <c r="E561" s="9" t="n">
        <f aca="false">D561-$C561</f>
        <v>19027</v>
      </c>
      <c r="F561" s="9" t="n">
        <f aca="false">F560+E561</f>
        <v>10208435.9</v>
      </c>
      <c r="G561" s="37" t="str">
        <f aca="false">IF(AND(F560&lt;0,F561&gt;=0,A561&lt;=MAX(120,Premissas!$B$15*12)),(A561-1)+(-F560)/E561,"")</f>
        <v/>
      </c>
      <c r="H561" s="9" t="n">
        <f aca="false">Resultados!$E$38*$B561-Resultados!$F$38*$B561-Premissas!$B$24-Resultados!$E$38*$B561*(Premissas!$B$14/100)</f>
        <v>24432.4</v>
      </c>
      <c r="I561" s="9" t="n">
        <f aca="false">H561-$C561</f>
        <v>24432.4</v>
      </c>
      <c r="J561" s="9" t="n">
        <f aca="false">J560+I561</f>
        <v>13201405.8800001</v>
      </c>
      <c r="K561" s="37" t="str">
        <f aca="false">IF(AND(J560&lt;0,J561&gt;=0,A561&lt;=MAX(120,Premissas!$B$15*12)),(A561-1)+(-J560)/I561,"")</f>
        <v/>
      </c>
      <c r="L561" s="9" t="n">
        <f aca="false">Resultados!$E$39*$B561-Resultados!$F$39*$B561-Premissas!$B$24-Resultados!$E$39*$B561*(Premissas!$B$14/100)</f>
        <v>29837.8</v>
      </c>
      <c r="M561" s="9" t="n">
        <f aca="false">L561-$C561</f>
        <v>29837.8</v>
      </c>
      <c r="N561" s="9" t="n">
        <f aca="false">N560+M561</f>
        <v>16194375.8600002</v>
      </c>
      <c r="O561" s="37" t="str">
        <f aca="false">IF(AND(N560&lt;0,N561&gt;=0,A561&lt;=MAX(120,Premissas!$B$15*12)),(A561-1)+(-N560)/M561,"")</f>
        <v/>
      </c>
      <c r="P561" s="9" t="n">
        <f aca="false">Resultados!$B$19*$B561-Resultados!$B$20*$B561-Premissas!$B$24-Resultados!$B$19*$B561*(Premissas!$B$14/100)</f>
        <v>24432.4</v>
      </c>
      <c r="Q561" s="9" t="n">
        <f aca="false">P561-$C561</f>
        <v>24432.4</v>
      </c>
      <c r="R561" s="9" t="n">
        <f aca="false">R560+Q561</f>
        <v>13201405.8800001</v>
      </c>
      <c r="S561" s="37" t="str">
        <f aca="false">IF(AND(R560&lt;0,R561&gt;=0,A561&lt;=MAX(120,Premissas!$B$15*12)),(A561-1)+(-R560)/Q561,"")</f>
        <v/>
      </c>
    </row>
    <row r="562" customFormat="false" ht="15" hidden="false" customHeight="false" outlineLevel="0" collapsed="false">
      <c r="A562" s="10" t="n">
        <f aca="false">A561+1</f>
        <v>558</v>
      </c>
      <c r="B562" s="36" t="n">
        <f aca="false">IF(Premissas!$B$9&lt;=1,1,MIN(1,Premissas!$B$8/100+(1-Premissas!$B$8/100)*(A562-1)/(Premissas!$B$9-1)))</f>
        <v>1</v>
      </c>
      <c r="C562" s="9" t="n">
        <f aca="false">IF(A562&lt;=Resultados!$B$9,Resultados!$B$10,0)</f>
        <v>0</v>
      </c>
      <c r="D562" s="9" t="n">
        <f aca="false">Resultados!$E$37*$B562-Resultados!$F$37*$B562-Premissas!$B$24-Resultados!$E$37*$B562*(Premissas!$B$14/100)</f>
        <v>19027</v>
      </c>
      <c r="E562" s="9" t="n">
        <f aca="false">D562-$C562</f>
        <v>19027</v>
      </c>
      <c r="F562" s="9" t="n">
        <f aca="false">F561+E562</f>
        <v>10227462.9</v>
      </c>
      <c r="G562" s="37" t="str">
        <f aca="false">IF(AND(F561&lt;0,F562&gt;=0,A562&lt;=MAX(120,Premissas!$B$15*12)),(A562-1)+(-F561)/E562,"")</f>
        <v/>
      </c>
      <c r="H562" s="9" t="n">
        <f aca="false">Resultados!$E$38*$B562-Resultados!$F$38*$B562-Premissas!$B$24-Resultados!$E$38*$B562*(Premissas!$B$14/100)</f>
        <v>24432.4</v>
      </c>
      <c r="I562" s="9" t="n">
        <f aca="false">H562-$C562</f>
        <v>24432.4</v>
      </c>
      <c r="J562" s="9" t="n">
        <f aca="false">J561+I562</f>
        <v>13225838.2800001</v>
      </c>
      <c r="K562" s="37" t="str">
        <f aca="false">IF(AND(J561&lt;0,J562&gt;=0,A562&lt;=MAX(120,Premissas!$B$15*12)),(A562-1)+(-J561)/I562,"")</f>
        <v/>
      </c>
      <c r="L562" s="9" t="n">
        <f aca="false">Resultados!$E$39*$B562-Resultados!$F$39*$B562-Premissas!$B$24-Resultados!$E$39*$B562*(Premissas!$B$14/100)</f>
        <v>29837.8</v>
      </c>
      <c r="M562" s="9" t="n">
        <f aca="false">L562-$C562</f>
        <v>29837.8</v>
      </c>
      <c r="N562" s="9" t="n">
        <f aca="false">N561+M562</f>
        <v>16224213.6600002</v>
      </c>
      <c r="O562" s="37" t="str">
        <f aca="false">IF(AND(N561&lt;0,N562&gt;=0,A562&lt;=MAX(120,Premissas!$B$15*12)),(A562-1)+(-N561)/M562,"")</f>
        <v/>
      </c>
      <c r="P562" s="9" t="n">
        <f aca="false">Resultados!$B$19*$B562-Resultados!$B$20*$B562-Premissas!$B$24-Resultados!$B$19*$B562*(Premissas!$B$14/100)</f>
        <v>24432.4</v>
      </c>
      <c r="Q562" s="9" t="n">
        <f aca="false">P562-$C562</f>
        <v>24432.4</v>
      </c>
      <c r="R562" s="9" t="n">
        <f aca="false">R561+Q562</f>
        <v>13225838.2800001</v>
      </c>
      <c r="S562" s="37" t="str">
        <f aca="false">IF(AND(R561&lt;0,R562&gt;=0,A562&lt;=MAX(120,Premissas!$B$15*12)),(A562-1)+(-R561)/Q562,"")</f>
        <v/>
      </c>
    </row>
    <row r="563" customFormat="false" ht="15" hidden="false" customHeight="false" outlineLevel="0" collapsed="false">
      <c r="A563" s="10" t="n">
        <f aca="false">A562+1</f>
        <v>559</v>
      </c>
      <c r="B563" s="36" t="n">
        <f aca="false">IF(Premissas!$B$9&lt;=1,1,MIN(1,Premissas!$B$8/100+(1-Premissas!$B$8/100)*(A563-1)/(Premissas!$B$9-1)))</f>
        <v>1</v>
      </c>
      <c r="C563" s="9" t="n">
        <f aca="false">IF(A563&lt;=Resultados!$B$9,Resultados!$B$10,0)</f>
        <v>0</v>
      </c>
      <c r="D563" s="9" t="n">
        <f aca="false">Resultados!$E$37*$B563-Resultados!$F$37*$B563-Premissas!$B$24-Resultados!$E$37*$B563*(Premissas!$B$14/100)</f>
        <v>19027</v>
      </c>
      <c r="E563" s="9" t="n">
        <f aca="false">D563-$C563</f>
        <v>19027</v>
      </c>
      <c r="F563" s="9" t="n">
        <f aca="false">F562+E563</f>
        <v>10246489.9</v>
      </c>
      <c r="G563" s="37" t="str">
        <f aca="false">IF(AND(F562&lt;0,F563&gt;=0,A563&lt;=MAX(120,Premissas!$B$15*12)),(A563-1)+(-F562)/E563,"")</f>
        <v/>
      </c>
      <c r="H563" s="9" t="n">
        <f aca="false">Resultados!$E$38*$B563-Resultados!$F$38*$B563-Premissas!$B$24-Resultados!$E$38*$B563*(Premissas!$B$14/100)</f>
        <v>24432.4</v>
      </c>
      <c r="I563" s="9" t="n">
        <f aca="false">H563-$C563</f>
        <v>24432.4</v>
      </c>
      <c r="J563" s="9" t="n">
        <f aca="false">J562+I563</f>
        <v>13250270.6800001</v>
      </c>
      <c r="K563" s="37" t="str">
        <f aca="false">IF(AND(J562&lt;0,J563&gt;=0,A563&lt;=MAX(120,Premissas!$B$15*12)),(A563-1)+(-J562)/I563,"")</f>
        <v/>
      </c>
      <c r="L563" s="9" t="n">
        <f aca="false">Resultados!$E$39*$B563-Resultados!$F$39*$B563-Premissas!$B$24-Resultados!$E$39*$B563*(Premissas!$B$14/100)</f>
        <v>29837.8</v>
      </c>
      <c r="M563" s="9" t="n">
        <f aca="false">L563-$C563</f>
        <v>29837.8</v>
      </c>
      <c r="N563" s="9" t="n">
        <f aca="false">N562+M563</f>
        <v>16254051.4600002</v>
      </c>
      <c r="O563" s="37" t="str">
        <f aca="false">IF(AND(N562&lt;0,N563&gt;=0,A563&lt;=MAX(120,Premissas!$B$15*12)),(A563-1)+(-N562)/M563,"")</f>
        <v/>
      </c>
      <c r="P563" s="9" t="n">
        <f aca="false">Resultados!$B$19*$B563-Resultados!$B$20*$B563-Premissas!$B$24-Resultados!$B$19*$B563*(Premissas!$B$14/100)</f>
        <v>24432.4</v>
      </c>
      <c r="Q563" s="9" t="n">
        <f aca="false">P563-$C563</f>
        <v>24432.4</v>
      </c>
      <c r="R563" s="9" t="n">
        <f aca="false">R562+Q563</f>
        <v>13250270.6800001</v>
      </c>
      <c r="S563" s="37" t="str">
        <f aca="false">IF(AND(R562&lt;0,R563&gt;=0,A563&lt;=MAX(120,Premissas!$B$15*12)),(A563-1)+(-R562)/Q563,"")</f>
        <v/>
      </c>
    </row>
    <row r="564" customFormat="false" ht="15" hidden="false" customHeight="false" outlineLevel="0" collapsed="false">
      <c r="A564" s="10" t="n">
        <f aca="false">A563+1</f>
        <v>560</v>
      </c>
      <c r="B564" s="36" t="n">
        <f aca="false">IF(Premissas!$B$9&lt;=1,1,MIN(1,Premissas!$B$8/100+(1-Premissas!$B$8/100)*(A564-1)/(Premissas!$B$9-1)))</f>
        <v>1</v>
      </c>
      <c r="C564" s="9" t="n">
        <f aca="false">IF(A564&lt;=Resultados!$B$9,Resultados!$B$10,0)</f>
        <v>0</v>
      </c>
      <c r="D564" s="9" t="n">
        <f aca="false">Resultados!$E$37*$B564-Resultados!$F$37*$B564-Premissas!$B$24-Resultados!$E$37*$B564*(Premissas!$B$14/100)</f>
        <v>19027</v>
      </c>
      <c r="E564" s="9" t="n">
        <f aca="false">D564-$C564</f>
        <v>19027</v>
      </c>
      <c r="F564" s="9" t="n">
        <f aca="false">F563+E564</f>
        <v>10265516.9</v>
      </c>
      <c r="G564" s="37" t="str">
        <f aca="false">IF(AND(F563&lt;0,F564&gt;=0,A564&lt;=MAX(120,Premissas!$B$15*12)),(A564-1)+(-F563)/E564,"")</f>
        <v/>
      </c>
      <c r="H564" s="9" t="n">
        <f aca="false">Resultados!$E$38*$B564-Resultados!$F$38*$B564-Premissas!$B$24-Resultados!$E$38*$B564*(Premissas!$B$14/100)</f>
        <v>24432.4</v>
      </c>
      <c r="I564" s="9" t="n">
        <f aca="false">H564-$C564</f>
        <v>24432.4</v>
      </c>
      <c r="J564" s="9" t="n">
        <f aca="false">J563+I564</f>
        <v>13274703.0800001</v>
      </c>
      <c r="K564" s="37" t="str">
        <f aca="false">IF(AND(J563&lt;0,J564&gt;=0,A564&lt;=MAX(120,Premissas!$B$15*12)),(A564-1)+(-J563)/I564,"")</f>
        <v/>
      </c>
      <c r="L564" s="9" t="n">
        <f aca="false">Resultados!$E$39*$B564-Resultados!$F$39*$B564-Premissas!$B$24-Resultados!$E$39*$B564*(Premissas!$B$14/100)</f>
        <v>29837.8</v>
      </c>
      <c r="M564" s="9" t="n">
        <f aca="false">L564-$C564</f>
        <v>29837.8</v>
      </c>
      <c r="N564" s="9" t="n">
        <f aca="false">N563+M564</f>
        <v>16283889.2600002</v>
      </c>
      <c r="O564" s="37" t="str">
        <f aca="false">IF(AND(N563&lt;0,N564&gt;=0,A564&lt;=MAX(120,Premissas!$B$15*12)),(A564-1)+(-N563)/M564,"")</f>
        <v/>
      </c>
      <c r="P564" s="9" t="n">
        <f aca="false">Resultados!$B$19*$B564-Resultados!$B$20*$B564-Premissas!$B$24-Resultados!$B$19*$B564*(Premissas!$B$14/100)</f>
        <v>24432.4</v>
      </c>
      <c r="Q564" s="9" t="n">
        <f aca="false">P564-$C564</f>
        <v>24432.4</v>
      </c>
      <c r="R564" s="9" t="n">
        <f aca="false">R563+Q564</f>
        <v>13274703.0800001</v>
      </c>
      <c r="S564" s="37" t="str">
        <f aca="false">IF(AND(R563&lt;0,R564&gt;=0,A564&lt;=MAX(120,Premissas!$B$15*12)),(A564-1)+(-R563)/Q564,"")</f>
        <v/>
      </c>
    </row>
    <row r="565" customFormat="false" ht="15" hidden="false" customHeight="false" outlineLevel="0" collapsed="false">
      <c r="A565" s="10" t="n">
        <f aca="false">A564+1</f>
        <v>561</v>
      </c>
      <c r="B565" s="36" t="n">
        <f aca="false">IF(Premissas!$B$9&lt;=1,1,MIN(1,Premissas!$B$8/100+(1-Premissas!$B$8/100)*(A565-1)/(Premissas!$B$9-1)))</f>
        <v>1</v>
      </c>
      <c r="C565" s="9" t="n">
        <f aca="false">IF(A565&lt;=Resultados!$B$9,Resultados!$B$10,0)</f>
        <v>0</v>
      </c>
      <c r="D565" s="9" t="n">
        <f aca="false">Resultados!$E$37*$B565-Resultados!$F$37*$B565-Premissas!$B$24-Resultados!$E$37*$B565*(Premissas!$B$14/100)</f>
        <v>19027</v>
      </c>
      <c r="E565" s="9" t="n">
        <f aca="false">D565-$C565</f>
        <v>19027</v>
      </c>
      <c r="F565" s="9" t="n">
        <f aca="false">F564+E565</f>
        <v>10284543.9</v>
      </c>
      <c r="G565" s="37" t="str">
        <f aca="false">IF(AND(F564&lt;0,F565&gt;=0,A565&lt;=MAX(120,Premissas!$B$15*12)),(A565-1)+(-F564)/E565,"")</f>
        <v/>
      </c>
      <c r="H565" s="9" t="n">
        <f aca="false">Resultados!$E$38*$B565-Resultados!$F$38*$B565-Premissas!$B$24-Resultados!$E$38*$B565*(Premissas!$B$14/100)</f>
        <v>24432.4</v>
      </c>
      <c r="I565" s="9" t="n">
        <f aca="false">H565-$C565</f>
        <v>24432.4</v>
      </c>
      <c r="J565" s="9" t="n">
        <f aca="false">J564+I565</f>
        <v>13299135.4800001</v>
      </c>
      <c r="K565" s="37" t="str">
        <f aca="false">IF(AND(J564&lt;0,J565&gt;=0,A565&lt;=MAX(120,Premissas!$B$15*12)),(A565-1)+(-J564)/I565,"")</f>
        <v/>
      </c>
      <c r="L565" s="9" t="n">
        <f aca="false">Resultados!$E$39*$B565-Resultados!$F$39*$B565-Premissas!$B$24-Resultados!$E$39*$B565*(Premissas!$B$14/100)</f>
        <v>29837.8</v>
      </c>
      <c r="M565" s="9" t="n">
        <f aca="false">L565-$C565</f>
        <v>29837.8</v>
      </c>
      <c r="N565" s="9" t="n">
        <f aca="false">N564+M565</f>
        <v>16313727.0600002</v>
      </c>
      <c r="O565" s="37" t="str">
        <f aca="false">IF(AND(N564&lt;0,N565&gt;=0,A565&lt;=MAX(120,Premissas!$B$15*12)),(A565-1)+(-N564)/M565,"")</f>
        <v/>
      </c>
      <c r="P565" s="9" t="n">
        <f aca="false">Resultados!$B$19*$B565-Resultados!$B$20*$B565-Premissas!$B$24-Resultados!$B$19*$B565*(Premissas!$B$14/100)</f>
        <v>24432.4</v>
      </c>
      <c r="Q565" s="9" t="n">
        <f aca="false">P565-$C565</f>
        <v>24432.4</v>
      </c>
      <c r="R565" s="9" t="n">
        <f aca="false">R564+Q565</f>
        <v>13299135.4800001</v>
      </c>
      <c r="S565" s="37" t="str">
        <f aca="false">IF(AND(R564&lt;0,R565&gt;=0,A565&lt;=MAX(120,Premissas!$B$15*12)),(A565-1)+(-R564)/Q565,"")</f>
        <v/>
      </c>
    </row>
    <row r="566" customFormat="false" ht="15" hidden="false" customHeight="false" outlineLevel="0" collapsed="false">
      <c r="A566" s="10" t="n">
        <f aca="false">A565+1</f>
        <v>562</v>
      </c>
      <c r="B566" s="36" t="n">
        <f aca="false">IF(Premissas!$B$9&lt;=1,1,MIN(1,Premissas!$B$8/100+(1-Premissas!$B$8/100)*(A566-1)/(Premissas!$B$9-1)))</f>
        <v>1</v>
      </c>
      <c r="C566" s="9" t="n">
        <f aca="false">IF(A566&lt;=Resultados!$B$9,Resultados!$B$10,0)</f>
        <v>0</v>
      </c>
      <c r="D566" s="9" t="n">
        <f aca="false">Resultados!$E$37*$B566-Resultados!$F$37*$B566-Premissas!$B$24-Resultados!$E$37*$B566*(Premissas!$B$14/100)</f>
        <v>19027</v>
      </c>
      <c r="E566" s="9" t="n">
        <f aca="false">D566-$C566</f>
        <v>19027</v>
      </c>
      <c r="F566" s="9" t="n">
        <f aca="false">F565+E566</f>
        <v>10303570.9</v>
      </c>
      <c r="G566" s="37" t="str">
        <f aca="false">IF(AND(F565&lt;0,F566&gt;=0,A566&lt;=MAX(120,Premissas!$B$15*12)),(A566-1)+(-F565)/E566,"")</f>
        <v/>
      </c>
      <c r="H566" s="9" t="n">
        <f aca="false">Resultados!$E$38*$B566-Resultados!$F$38*$B566-Premissas!$B$24-Resultados!$E$38*$B566*(Premissas!$B$14/100)</f>
        <v>24432.4</v>
      </c>
      <c r="I566" s="9" t="n">
        <f aca="false">H566-$C566</f>
        <v>24432.4</v>
      </c>
      <c r="J566" s="9" t="n">
        <f aca="false">J565+I566</f>
        <v>13323567.8800001</v>
      </c>
      <c r="K566" s="37" t="str">
        <f aca="false">IF(AND(J565&lt;0,J566&gt;=0,A566&lt;=MAX(120,Premissas!$B$15*12)),(A566-1)+(-J565)/I566,"")</f>
        <v/>
      </c>
      <c r="L566" s="9" t="n">
        <f aca="false">Resultados!$E$39*$B566-Resultados!$F$39*$B566-Premissas!$B$24-Resultados!$E$39*$B566*(Premissas!$B$14/100)</f>
        <v>29837.8</v>
      </c>
      <c r="M566" s="9" t="n">
        <f aca="false">L566-$C566</f>
        <v>29837.8</v>
      </c>
      <c r="N566" s="9" t="n">
        <f aca="false">N565+M566</f>
        <v>16343564.8600002</v>
      </c>
      <c r="O566" s="37" t="str">
        <f aca="false">IF(AND(N565&lt;0,N566&gt;=0,A566&lt;=MAX(120,Premissas!$B$15*12)),(A566-1)+(-N565)/M566,"")</f>
        <v/>
      </c>
      <c r="P566" s="9" t="n">
        <f aca="false">Resultados!$B$19*$B566-Resultados!$B$20*$B566-Premissas!$B$24-Resultados!$B$19*$B566*(Premissas!$B$14/100)</f>
        <v>24432.4</v>
      </c>
      <c r="Q566" s="9" t="n">
        <f aca="false">P566-$C566</f>
        <v>24432.4</v>
      </c>
      <c r="R566" s="9" t="n">
        <f aca="false">R565+Q566</f>
        <v>13323567.8800001</v>
      </c>
      <c r="S566" s="37" t="str">
        <f aca="false">IF(AND(R565&lt;0,R566&gt;=0,A566&lt;=MAX(120,Premissas!$B$15*12)),(A566-1)+(-R565)/Q566,"")</f>
        <v/>
      </c>
    </row>
    <row r="567" customFormat="false" ht="15" hidden="false" customHeight="false" outlineLevel="0" collapsed="false">
      <c r="A567" s="10" t="n">
        <f aca="false">A566+1</f>
        <v>563</v>
      </c>
      <c r="B567" s="36" t="n">
        <f aca="false">IF(Premissas!$B$9&lt;=1,1,MIN(1,Premissas!$B$8/100+(1-Premissas!$B$8/100)*(A567-1)/(Premissas!$B$9-1)))</f>
        <v>1</v>
      </c>
      <c r="C567" s="9" t="n">
        <f aca="false">IF(A567&lt;=Resultados!$B$9,Resultados!$B$10,0)</f>
        <v>0</v>
      </c>
      <c r="D567" s="9" t="n">
        <f aca="false">Resultados!$E$37*$B567-Resultados!$F$37*$B567-Premissas!$B$24-Resultados!$E$37*$B567*(Premissas!$B$14/100)</f>
        <v>19027</v>
      </c>
      <c r="E567" s="9" t="n">
        <f aca="false">D567-$C567</f>
        <v>19027</v>
      </c>
      <c r="F567" s="9" t="n">
        <f aca="false">F566+E567</f>
        <v>10322597.9</v>
      </c>
      <c r="G567" s="37" t="str">
        <f aca="false">IF(AND(F566&lt;0,F567&gt;=0,A567&lt;=MAX(120,Premissas!$B$15*12)),(A567-1)+(-F566)/E567,"")</f>
        <v/>
      </c>
      <c r="H567" s="9" t="n">
        <f aca="false">Resultados!$E$38*$B567-Resultados!$F$38*$B567-Premissas!$B$24-Resultados!$E$38*$B567*(Premissas!$B$14/100)</f>
        <v>24432.4</v>
      </c>
      <c r="I567" s="9" t="n">
        <f aca="false">H567-$C567</f>
        <v>24432.4</v>
      </c>
      <c r="J567" s="9" t="n">
        <f aca="false">J566+I567</f>
        <v>13348000.2800001</v>
      </c>
      <c r="K567" s="37" t="str">
        <f aca="false">IF(AND(J566&lt;0,J567&gt;=0,A567&lt;=MAX(120,Premissas!$B$15*12)),(A567-1)+(-J566)/I567,"")</f>
        <v/>
      </c>
      <c r="L567" s="9" t="n">
        <f aca="false">Resultados!$E$39*$B567-Resultados!$F$39*$B567-Premissas!$B$24-Resultados!$E$39*$B567*(Premissas!$B$14/100)</f>
        <v>29837.8</v>
      </c>
      <c r="M567" s="9" t="n">
        <f aca="false">L567-$C567</f>
        <v>29837.8</v>
      </c>
      <c r="N567" s="9" t="n">
        <f aca="false">N566+M567</f>
        <v>16373402.6600002</v>
      </c>
      <c r="O567" s="37" t="str">
        <f aca="false">IF(AND(N566&lt;0,N567&gt;=0,A567&lt;=MAX(120,Premissas!$B$15*12)),(A567-1)+(-N566)/M567,"")</f>
        <v/>
      </c>
      <c r="P567" s="9" t="n">
        <f aca="false">Resultados!$B$19*$B567-Resultados!$B$20*$B567-Premissas!$B$24-Resultados!$B$19*$B567*(Premissas!$B$14/100)</f>
        <v>24432.4</v>
      </c>
      <c r="Q567" s="9" t="n">
        <f aca="false">P567-$C567</f>
        <v>24432.4</v>
      </c>
      <c r="R567" s="9" t="n">
        <f aca="false">R566+Q567</f>
        <v>13348000.2800001</v>
      </c>
      <c r="S567" s="37" t="str">
        <f aca="false">IF(AND(R566&lt;0,R567&gt;=0,A567&lt;=MAX(120,Premissas!$B$15*12)),(A567-1)+(-R566)/Q567,"")</f>
        <v/>
      </c>
    </row>
    <row r="568" customFormat="false" ht="15" hidden="false" customHeight="false" outlineLevel="0" collapsed="false">
      <c r="A568" s="10" t="n">
        <f aca="false">A567+1</f>
        <v>564</v>
      </c>
      <c r="B568" s="36" t="n">
        <f aca="false">IF(Premissas!$B$9&lt;=1,1,MIN(1,Premissas!$B$8/100+(1-Premissas!$B$8/100)*(A568-1)/(Premissas!$B$9-1)))</f>
        <v>1</v>
      </c>
      <c r="C568" s="9" t="n">
        <f aca="false">IF(A568&lt;=Resultados!$B$9,Resultados!$B$10,0)</f>
        <v>0</v>
      </c>
      <c r="D568" s="9" t="n">
        <f aca="false">Resultados!$E$37*$B568-Resultados!$F$37*$B568-Premissas!$B$24-Resultados!$E$37*$B568*(Premissas!$B$14/100)</f>
        <v>19027</v>
      </c>
      <c r="E568" s="9" t="n">
        <f aca="false">D568-$C568</f>
        <v>19027</v>
      </c>
      <c r="F568" s="9" t="n">
        <f aca="false">F567+E568</f>
        <v>10341624.9</v>
      </c>
      <c r="G568" s="37" t="str">
        <f aca="false">IF(AND(F567&lt;0,F568&gt;=0,A568&lt;=MAX(120,Premissas!$B$15*12)),(A568-1)+(-F567)/E568,"")</f>
        <v/>
      </c>
      <c r="H568" s="9" t="n">
        <f aca="false">Resultados!$E$38*$B568-Resultados!$F$38*$B568-Premissas!$B$24-Resultados!$E$38*$B568*(Premissas!$B$14/100)</f>
        <v>24432.4</v>
      </c>
      <c r="I568" s="9" t="n">
        <f aca="false">H568-$C568</f>
        <v>24432.4</v>
      </c>
      <c r="J568" s="9" t="n">
        <f aca="false">J567+I568</f>
        <v>13372432.6800001</v>
      </c>
      <c r="K568" s="37" t="str">
        <f aca="false">IF(AND(J567&lt;0,J568&gt;=0,A568&lt;=MAX(120,Premissas!$B$15*12)),(A568-1)+(-J567)/I568,"")</f>
        <v/>
      </c>
      <c r="L568" s="9" t="n">
        <f aca="false">Resultados!$E$39*$B568-Resultados!$F$39*$B568-Premissas!$B$24-Resultados!$E$39*$B568*(Premissas!$B$14/100)</f>
        <v>29837.8</v>
      </c>
      <c r="M568" s="9" t="n">
        <f aca="false">L568-$C568</f>
        <v>29837.8</v>
      </c>
      <c r="N568" s="9" t="n">
        <f aca="false">N567+M568</f>
        <v>16403240.4600002</v>
      </c>
      <c r="O568" s="37" t="str">
        <f aca="false">IF(AND(N567&lt;0,N568&gt;=0,A568&lt;=MAX(120,Premissas!$B$15*12)),(A568-1)+(-N567)/M568,"")</f>
        <v/>
      </c>
      <c r="P568" s="9" t="n">
        <f aca="false">Resultados!$B$19*$B568-Resultados!$B$20*$B568-Premissas!$B$24-Resultados!$B$19*$B568*(Premissas!$B$14/100)</f>
        <v>24432.4</v>
      </c>
      <c r="Q568" s="9" t="n">
        <f aca="false">P568-$C568</f>
        <v>24432.4</v>
      </c>
      <c r="R568" s="9" t="n">
        <f aca="false">R567+Q568</f>
        <v>13372432.6800001</v>
      </c>
      <c r="S568" s="37" t="str">
        <f aca="false">IF(AND(R567&lt;0,R568&gt;=0,A568&lt;=MAX(120,Premissas!$B$15*12)),(A568-1)+(-R567)/Q568,"")</f>
        <v/>
      </c>
    </row>
    <row r="569" customFormat="false" ht="15" hidden="false" customHeight="false" outlineLevel="0" collapsed="false">
      <c r="A569" s="10" t="n">
        <f aca="false">A568+1</f>
        <v>565</v>
      </c>
      <c r="B569" s="36" t="n">
        <f aca="false">IF(Premissas!$B$9&lt;=1,1,MIN(1,Premissas!$B$8/100+(1-Premissas!$B$8/100)*(A569-1)/(Premissas!$B$9-1)))</f>
        <v>1</v>
      </c>
      <c r="C569" s="9" t="n">
        <f aca="false">IF(A569&lt;=Resultados!$B$9,Resultados!$B$10,0)</f>
        <v>0</v>
      </c>
      <c r="D569" s="9" t="n">
        <f aca="false">Resultados!$E$37*$B569-Resultados!$F$37*$B569-Premissas!$B$24-Resultados!$E$37*$B569*(Premissas!$B$14/100)</f>
        <v>19027</v>
      </c>
      <c r="E569" s="9" t="n">
        <f aca="false">D569-$C569</f>
        <v>19027</v>
      </c>
      <c r="F569" s="9" t="n">
        <f aca="false">F568+E569</f>
        <v>10360651.9</v>
      </c>
      <c r="G569" s="37" t="str">
        <f aca="false">IF(AND(F568&lt;0,F569&gt;=0,A569&lt;=MAX(120,Premissas!$B$15*12)),(A569-1)+(-F568)/E569,"")</f>
        <v/>
      </c>
      <c r="H569" s="9" t="n">
        <f aca="false">Resultados!$E$38*$B569-Resultados!$F$38*$B569-Premissas!$B$24-Resultados!$E$38*$B569*(Premissas!$B$14/100)</f>
        <v>24432.4</v>
      </c>
      <c r="I569" s="9" t="n">
        <f aca="false">H569-$C569</f>
        <v>24432.4</v>
      </c>
      <c r="J569" s="9" t="n">
        <f aca="false">J568+I569</f>
        <v>13396865.0800001</v>
      </c>
      <c r="K569" s="37" t="str">
        <f aca="false">IF(AND(J568&lt;0,J569&gt;=0,A569&lt;=MAX(120,Premissas!$B$15*12)),(A569-1)+(-J568)/I569,"")</f>
        <v/>
      </c>
      <c r="L569" s="9" t="n">
        <f aca="false">Resultados!$E$39*$B569-Resultados!$F$39*$B569-Premissas!$B$24-Resultados!$E$39*$B569*(Premissas!$B$14/100)</f>
        <v>29837.8</v>
      </c>
      <c r="M569" s="9" t="n">
        <f aca="false">L569-$C569</f>
        <v>29837.8</v>
      </c>
      <c r="N569" s="9" t="n">
        <f aca="false">N568+M569</f>
        <v>16433078.2600002</v>
      </c>
      <c r="O569" s="37" t="str">
        <f aca="false">IF(AND(N568&lt;0,N569&gt;=0,A569&lt;=MAX(120,Premissas!$B$15*12)),(A569-1)+(-N568)/M569,"")</f>
        <v/>
      </c>
      <c r="P569" s="9" t="n">
        <f aca="false">Resultados!$B$19*$B569-Resultados!$B$20*$B569-Premissas!$B$24-Resultados!$B$19*$B569*(Premissas!$B$14/100)</f>
        <v>24432.4</v>
      </c>
      <c r="Q569" s="9" t="n">
        <f aca="false">P569-$C569</f>
        <v>24432.4</v>
      </c>
      <c r="R569" s="9" t="n">
        <f aca="false">R568+Q569</f>
        <v>13396865.0800001</v>
      </c>
      <c r="S569" s="37" t="str">
        <f aca="false">IF(AND(R568&lt;0,R569&gt;=0,A569&lt;=MAX(120,Premissas!$B$15*12)),(A569-1)+(-R568)/Q569,"")</f>
        <v/>
      </c>
    </row>
    <row r="570" customFormat="false" ht="15" hidden="false" customHeight="false" outlineLevel="0" collapsed="false">
      <c r="A570" s="10" t="n">
        <f aca="false">A569+1</f>
        <v>566</v>
      </c>
      <c r="B570" s="36" t="n">
        <f aca="false">IF(Premissas!$B$9&lt;=1,1,MIN(1,Premissas!$B$8/100+(1-Premissas!$B$8/100)*(A570-1)/(Premissas!$B$9-1)))</f>
        <v>1</v>
      </c>
      <c r="C570" s="9" t="n">
        <f aca="false">IF(A570&lt;=Resultados!$B$9,Resultados!$B$10,0)</f>
        <v>0</v>
      </c>
      <c r="D570" s="9" t="n">
        <f aca="false">Resultados!$E$37*$B570-Resultados!$F$37*$B570-Premissas!$B$24-Resultados!$E$37*$B570*(Premissas!$B$14/100)</f>
        <v>19027</v>
      </c>
      <c r="E570" s="9" t="n">
        <f aca="false">D570-$C570</f>
        <v>19027</v>
      </c>
      <c r="F570" s="9" t="n">
        <f aca="false">F569+E570</f>
        <v>10379678.9</v>
      </c>
      <c r="G570" s="37" t="str">
        <f aca="false">IF(AND(F569&lt;0,F570&gt;=0,A570&lt;=MAX(120,Premissas!$B$15*12)),(A570-1)+(-F569)/E570,"")</f>
        <v/>
      </c>
      <c r="H570" s="9" t="n">
        <f aca="false">Resultados!$E$38*$B570-Resultados!$F$38*$B570-Premissas!$B$24-Resultados!$E$38*$B570*(Premissas!$B$14/100)</f>
        <v>24432.4</v>
      </c>
      <c r="I570" s="9" t="n">
        <f aca="false">H570-$C570</f>
        <v>24432.4</v>
      </c>
      <c r="J570" s="9" t="n">
        <f aca="false">J569+I570</f>
        <v>13421297.4800001</v>
      </c>
      <c r="K570" s="37" t="str">
        <f aca="false">IF(AND(J569&lt;0,J570&gt;=0,A570&lt;=MAX(120,Premissas!$B$15*12)),(A570-1)+(-J569)/I570,"")</f>
        <v/>
      </c>
      <c r="L570" s="9" t="n">
        <f aca="false">Resultados!$E$39*$B570-Resultados!$F$39*$B570-Premissas!$B$24-Resultados!$E$39*$B570*(Premissas!$B$14/100)</f>
        <v>29837.8</v>
      </c>
      <c r="M570" s="9" t="n">
        <f aca="false">L570-$C570</f>
        <v>29837.8</v>
      </c>
      <c r="N570" s="9" t="n">
        <f aca="false">N569+M570</f>
        <v>16462916.0600002</v>
      </c>
      <c r="O570" s="37" t="str">
        <f aca="false">IF(AND(N569&lt;0,N570&gt;=0,A570&lt;=MAX(120,Premissas!$B$15*12)),(A570-1)+(-N569)/M570,"")</f>
        <v/>
      </c>
      <c r="P570" s="9" t="n">
        <f aca="false">Resultados!$B$19*$B570-Resultados!$B$20*$B570-Premissas!$B$24-Resultados!$B$19*$B570*(Premissas!$B$14/100)</f>
        <v>24432.4</v>
      </c>
      <c r="Q570" s="9" t="n">
        <f aca="false">P570-$C570</f>
        <v>24432.4</v>
      </c>
      <c r="R570" s="9" t="n">
        <f aca="false">R569+Q570</f>
        <v>13421297.4800001</v>
      </c>
      <c r="S570" s="37" t="str">
        <f aca="false">IF(AND(R569&lt;0,R570&gt;=0,A570&lt;=MAX(120,Premissas!$B$15*12)),(A570-1)+(-R569)/Q570,"")</f>
        <v/>
      </c>
    </row>
    <row r="571" customFormat="false" ht="15" hidden="false" customHeight="false" outlineLevel="0" collapsed="false">
      <c r="A571" s="10" t="n">
        <f aca="false">A570+1</f>
        <v>567</v>
      </c>
      <c r="B571" s="36" t="n">
        <f aca="false">IF(Premissas!$B$9&lt;=1,1,MIN(1,Premissas!$B$8/100+(1-Premissas!$B$8/100)*(A571-1)/(Premissas!$B$9-1)))</f>
        <v>1</v>
      </c>
      <c r="C571" s="9" t="n">
        <f aca="false">IF(A571&lt;=Resultados!$B$9,Resultados!$B$10,0)</f>
        <v>0</v>
      </c>
      <c r="D571" s="9" t="n">
        <f aca="false">Resultados!$E$37*$B571-Resultados!$F$37*$B571-Premissas!$B$24-Resultados!$E$37*$B571*(Premissas!$B$14/100)</f>
        <v>19027</v>
      </c>
      <c r="E571" s="9" t="n">
        <f aca="false">D571-$C571</f>
        <v>19027</v>
      </c>
      <c r="F571" s="9" t="n">
        <f aca="false">F570+E571</f>
        <v>10398705.9</v>
      </c>
      <c r="G571" s="37" t="str">
        <f aca="false">IF(AND(F570&lt;0,F571&gt;=0,A571&lt;=MAX(120,Premissas!$B$15*12)),(A571-1)+(-F570)/E571,"")</f>
        <v/>
      </c>
      <c r="H571" s="9" t="n">
        <f aca="false">Resultados!$E$38*$B571-Resultados!$F$38*$B571-Premissas!$B$24-Resultados!$E$38*$B571*(Premissas!$B$14/100)</f>
        <v>24432.4</v>
      </c>
      <c r="I571" s="9" t="n">
        <f aca="false">H571-$C571</f>
        <v>24432.4</v>
      </c>
      <c r="J571" s="9" t="n">
        <f aca="false">J570+I571</f>
        <v>13445729.8800001</v>
      </c>
      <c r="K571" s="37" t="str">
        <f aca="false">IF(AND(J570&lt;0,J571&gt;=0,A571&lt;=MAX(120,Premissas!$B$15*12)),(A571-1)+(-J570)/I571,"")</f>
        <v/>
      </c>
      <c r="L571" s="9" t="n">
        <f aca="false">Resultados!$E$39*$B571-Resultados!$F$39*$B571-Premissas!$B$24-Resultados!$E$39*$B571*(Premissas!$B$14/100)</f>
        <v>29837.8</v>
      </c>
      <c r="M571" s="9" t="n">
        <f aca="false">L571-$C571</f>
        <v>29837.8</v>
      </c>
      <c r="N571" s="9" t="n">
        <f aca="false">N570+M571</f>
        <v>16492753.8600002</v>
      </c>
      <c r="O571" s="37" t="str">
        <f aca="false">IF(AND(N570&lt;0,N571&gt;=0,A571&lt;=MAX(120,Premissas!$B$15*12)),(A571-1)+(-N570)/M571,"")</f>
        <v/>
      </c>
      <c r="P571" s="9" t="n">
        <f aca="false">Resultados!$B$19*$B571-Resultados!$B$20*$B571-Premissas!$B$24-Resultados!$B$19*$B571*(Premissas!$B$14/100)</f>
        <v>24432.4</v>
      </c>
      <c r="Q571" s="9" t="n">
        <f aca="false">P571-$C571</f>
        <v>24432.4</v>
      </c>
      <c r="R571" s="9" t="n">
        <f aca="false">R570+Q571</f>
        <v>13445729.8800001</v>
      </c>
      <c r="S571" s="37" t="str">
        <f aca="false">IF(AND(R570&lt;0,R571&gt;=0,A571&lt;=MAX(120,Premissas!$B$15*12)),(A571-1)+(-R570)/Q571,"")</f>
        <v/>
      </c>
    </row>
    <row r="572" customFormat="false" ht="15" hidden="false" customHeight="false" outlineLevel="0" collapsed="false">
      <c r="A572" s="10" t="n">
        <f aca="false">A571+1</f>
        <v>568</v>
      </c>
      <c r="B572" s="36" t="n">
        <f aca="false">IF(Premissas!$B$9&lt;=1,1,MIN(1,Premissas!$B$8/100+(1-Premissas!$B$8/100)*(A572-1)/(Premissas!$B$9-1)))</f>
        <v>1</v>
      </c>
      <c r="C572" s="9" t="n">
        <f aca="false">IF(A572&lt;=Resultados!$B$9,Resultados!$B$10,0)</f>
        <v>0</v>
      </c>
      <c r="D572" s="9" t="n">
        <f aca="false">Resultados!$E$37*$B572-Resultados!$F$37*$B572-Premissas!$B$24-Resultados!$E$37*$B572*(Premissas!$B$14/100)</f>
        <v>19027</v>
      </c>
      <c r="E572" s="9" t="n">
        <f aca="false">D572-$C572</f>
        <v>19027</v>
      </c>
      <c r="F572" s="9" t="n">
        <f aca="false">F571+E572</f>
        <v>10417732.9</v>
      </c>
      <c r="G572" s="37" t="str">
        <f aca="false">IF(AND(F571&lt;0,F572&gt;=0,A572&lt;=MAX(120,Premissas!$B$15*12)),(A572-1)+(-F571)/E572,"")</f>
        <v/>
      </c>
      <c r="H572" s="9" t="n">
        <f aca="false">Resultados!$E$38*$B572-Resultados!$F$38*$B572-Premissas!$B$24-Resultados!$E$38*$B572*(Premissas!$B$14/100)</f>
        <v>24432.4</v>
      </c>
      <c r="I572" s="9" t="n">
        <f aca="false">H572-$C572</f>
        <v>24432.4</v>
      </c>
      <c r="J572" s="9" t="n">
        <f aca="false">J571+I572</f>
        <v>13470162.2800001</v>
      </c>
      <c r="K572" s="37" t="str">
        <f aca="false">IF(AND(J571&lt;0,J572&gt;=0,A572&lt;=MAX(120,Premissas!$B$15*12)),(A572-1)+(-J571)/I572,"")</f>
        <v/>
      </c>
      <c r="L572" s="9" t="n">
        <f aca="false">Resultados!$E$39*$B572-Resultados!$F$39*$B572-Premissas!$B$24-Resultados!$E$39*$B572*(Premissas!$B$14/100)</f>
        <v>29837.8</v>
      </c>
      <c r="M572" s="9" t="n">
        <f aca="false">L572-$C572</f>
        <v>29837.8</v>
      </c>
      <c r="N572" s="9" t="n">
        <f aca="false">N571+M572</f>
        <v>16522591.6600002</v>
      </c>
      <c r="O572" s="37" t="str">
        <f aca="false">IF(AND(N571&lt;0,N572&gt;=0,A572&lt;=MAX(120,Premissas!$B$15*12)),(A572-1)+(-N571)/M572,"")</f>
        <v/>
      </c>
      <c r="P572" s="9" t="n">
        <f aca="false">Resultados!$B$19*$B572-Resultados!$B$20*$B572-Premissas!$B$24-Resultados!$B$19*$B572*(Premissas!$B$14/100)</f>
        <v>24432.4</v>
      </c>
      <c r="Q572" s="9" t="n">
        <f aca="false">P572-$C572</f>
        <v>24432.4</v>
      </c>
      <c r="R572" s="9" t="n">
        <f aca="false">R571+Q572</f>
        <v>13470162.2800001</v>
      </c>
      <c r="S572" s="37" t="str">
        <f aca="false">IF(AND(R571&lt;0,R572&gt;=0,A572&lt;=MAX(120,Premissas!$B$15*12)),(A572-1)+(-R571)/Q572,"")</f>
        <v/>
      </c>
    </row>
    <row r="573" customFormat="false" ht="15" hidden="false" customHeight="false" outlineLevel="0" collapsed="false">
      <c r="A573" s="10" t="n">
        <f aca="false">A572+1</f>
        <v>569</v>
      </c>
      <c r="B573" s="36" t="n">
        <f aca="false">IF(Premissas!$B$9&lt;=1,1,MIN(1,Premissas!$B$8/100+(1-Premissas!$B$8/100)*(A573-1)/(Premissas!$B$9-1)))</f>
        <v>1</v>
      </c>
      <c r="C573" s="9" t="n">
        <f aca="false">IF(A573&lt;=Resultados!$B$9,Resultados!$B$10,0)</f>
        <v>0</v>
      </c>
      <c r="D573" s="9" t="n">
        <f aca="false">Resultados!$E$37*$B573-Resultados!$F$37*$B573-Premissas!$B$24-Resultados!$E$37*$B573*(Premissas!$B$14/100)</f>
        <v>19027</v>
      </c>
      <c r="E573" s="9" t="n">
        <f aca="false">D573-$C573</f>
        <v>19027</v>
      </c>
      <c r="F573" s="9" t="n">
        <f aca="false">F572+E573</f>
        <v>10436759.9</v>
      </c>
      <c r="G573" s="37" t="str">
        <f aca="false">IF(AND(F572&lt;0,F573&gt;=0,A573&lt;=MAX(120,Premissas!$B$15*12)),(A573-1)+(-F572)/E573,"")</f>
        <v/>
      </c>
      <c r="H573" s="9" t="n">
        <f aca="false">Resultados!$E$38*$B573-Resultados!$F$38*$B573-Premissas!$B$24-Resultados!$E$38*$B573*(Premissas!$B$14/100)</f>
        <v>24432.4</v>
      </c>
      <c r="I573" s="9" t="n">
        <f aca="false">H573-$C573</f>
        <v>24432.4</v>
      </c>
      <c r="J573" s="9" t="n">
        <f aca="false">J572+I573</f>
        <v>13494594.6800001</v>
      </c>
      <c r="K573" s="37" t="str">
        <f aca="false">IF(AND(J572&lt;0,J573&gt;=0,A573&lt;=MAX(120,Premissas!$B$15*12)),(A573-1)+(-J572)/I573,"")</f>
        <v/>
      </c>
      <c r="L573" s="9" t="n">
        <f aca="false">Resultados!$E$39*$B573-Resultados!$F$39*$B573-Premissas!$B$24-Resultados!$E$39*$B573*(Premissas!$B$14/100)</f>
        <v>29837.8</v>
      </c>
      <c r="M573" s="9" t="n">
        <f aca="false">L573-$C573</f>
        <v>29837.8</v>
      </c>
      <c r="N573" s="9" t="n">
        <f aca="false">N572+M573</f>
        <v>16552429.4600002</v>
      </c>
      <c r="O573" s="37" t="str">
        <f aca="false">IF(AND(N572&lt;0,N573&gt;=0,A573&lt;=MAX(120,Premissas!$B$15*12)),(A573-1)+(-N572)/M573,"")</f>
        <v/>
      </c>
      <c r="P573" s="9" t="n">
        <f aca="false">Resultados!$B$19*$B573-Resultados!$B$20*$B573-Premissas!$B$24-Resultados!$B$19*$B573*(Premissas!$B$14/100)</f>
        <v>24432.4</v>
      </c>
      <c r="Q573" s="9" t="n">
        <f aca="false">P573-$C573</f>
        <v>24432.4</v>
      </c>
      <c r="R573" s="9" t="n">
        <f aca="false">R572+Q573</f>
        <v>13494594.6800001</v>
      </c>
      <c r="S573" s="37" t="str">
        <f aca="false">IF(AND(R572&lt;0,R573&gt;=0,A573&lt;=MAX(120,Premissas!$B$15*12)),(A573-1)+(-R572)/Q573,"")</f>
        <v/>
      </c>
    </row>
    <row r="574" customFormat="false" ht="15" hidden="false" customHeight="false" outlineLevel="0" collapsed="false">
      <c r="A574" s="10" t="n">
        <f aca="false">A573+1</f>
        <v>570</v>
      </c>
      <c r="B574" s="36" t="n">
        <f aca="false">IF(Premissas!$B$9&lt;=1,1,MIN(1,Premissas!$B$8/100+(1-Premissas!$B$8/100)*(A574-1)/(Premissas!$B$9-1)))</f>
        <v>1</v>
      </c>
      <c r="C574" s="9" t="n">
        <f aca="false">IF(A574&lt;=Resultados!$B$9,Resultados!$B$10,0)</f>
        <v>0</v>
      </c>
      <c r="D574" s="9" t="n">
        <f aca="false">Resultados!$E$37*$B574-Resultados!$F$37*$B574-Premissas!$B$24-Resultados!$E$37*$B574*(Premissas!$B$14/100)</f>
        <v>19027</v>
      </c>
      <c r="E574" s="9" t="n">
        <f aca="false">D574-$C574</f>
        <v>19027</v>
      </c>
      <c r="F574" s="9" t="n">
        <f aca="false">F573+E574</f>
        <v>10455786.9</v>
      </c>
      <c r="G574" s="37" t="str">
        <f aca="false">IF(AND(F573&lt;0,F574&gt;=0,A574&lt;=MAX(120,Premissas!$B$15*12)),(A574-1)+(-F573)/E574,"")</f>
        <v/>
      </c>
      <c r="H574" s="9" t="n">
        <f aca="false">Resultados!$E$38*$B574-Resultados!$F$38*$B574-Premissas!$B$24-Resultados!$E$38*$B574*(Premissas!$B$14/100)</f>
        <v>24432.4</v>
      </c>
      <c r="I574" s="9" t="n">
        <f aca="false">H574-$C574</f>
        <v>24432.4</v>
      </c>
      <c r="J574" s="9" t="n">
        <f aca="false">J573+I574</f>
        <v>13519027.0800001</v>
      </c>
      <c r="K574" s="37" t="str">
        <f aca="false">IF(AND(J573&lt;0,J574&gt;=0,A574&lt;=MAX(120,Premissas!$B$15*12)),(A574-1)+(-J573)/I574,"")</f>
        <v/>
      </c>
      <c r="L574" s="9" t="n">
        <f aca="false">Resultados!$E$39*$B574-Resultados!$F$39*$B574-Premissas!$B$24-Resultados!$E$39*$B574*(Premissas!$B$14/100)</f>
        <v>29837.8</v>
      </c>
      <c r="M574" s="9" t="n">
        <f aca="false">L574-$C574</f>
        <v>29837.8</v>
      </c>
      <c r="N574" s="9" t="n">
        <f aca="false">N573+M574</f>
        <v>16582267.2600002</v>
      </c>
      <c r="O574" s="37" t="str">
        <f aca="false">IF(AND(N573&lt;0,N574&gt;=0,A574&lt;=MAX(120,Premissas!$B$15*12)),(A574-1)+(-N573)/M574,"")</f>
        <v/>
      </c>
      <c r="P574" s="9" t="n">
        <f aca="false">Resultados!$B$19*$B574-Resultados!$B$20*$B574-Premissas!$B$24-Resultados!$B$19*$B574*(Premissas!$B$14/100)</f>
        <v>24432.4</v>
      </c>
      <c r="Q574" s="9" t="n">
        <f aca="false">P574-$C574</f>
        <v>24432.4</v>
      </c>
      <c r="R574" s="9" t="n">
        <f aca="false">R573+Q574</f>
        <v>13519027.0800001</v>
      </c>
      <c r="S574" s="37" t="str">
        <f aca="false">IF(AND(R573&lt;0,R574&gt;=0,A574&lt;=MAX(120,Premissas!$B$15*12)),(A574-1)+(-R573)/Q574,"")</f>
        <v/>
      </c>
    </row>
    <row r="575" customFormat="false" ht="15" hidden="false" customHeight="false" outlineLevel="0" collapsed="false">
      <c r="A575" s="10" t="n">
        <f aca="false">A574+1</f>
        <v>571</v>
      </c>
      <c r="B575" s="36" t="n">
        <f aca="false">IF(Premissas!$B$9&lt;=1,1,MIN(1,Premissas!$B$8/100+(1-Premissas!$B$8/100)*(A575-1)/(Premissas!$B$9-1)))</f>
        <v>1</v>
      </c>
      <c r="C575" s="9" t="n">
        <f aca="false">IF(A575&lt;=Resultados!$B$9,Resultados!$B$10,0)</f>
        <v>0</v>
      </c>
      <c r="D575" s="9" t="n">
        <f aca="false">Resultados!$E$37*$B575-Resultados!$F$37*$B575-Premissas!$B$24-Resultados!$E$37*$B575*(Premissas!$B$14/100)</f>
        <v>19027</v>
      </c>
      <c r="E575" s="9" t="n">
        <f aca="false">D575-$C575</f>
        <v>19027</v>
      </c>
      <c r="F575" s="9" t="n">
        <f aca="false">F574+E575</f>
        <v>10474813.9</v>
      </c>
      <c r="G575" s="37" t="str">
        <f aca="false">IF(AND(F574&lt;0,F575&gt;=0,A575&lt;=MAX(120,Premissas!$B$15*12)),(A575-1)+(-F574)/E575,"")</f>
        <v/>
      </c>
      <c r="H575" s="9" t="n">
        <f aca="false">Resultados!$E$38*$B575-Resultados!$F$38*$B575-Premissas!$B$24-Resultados!$E$38*$B575*(Premissas!$B$14/100)</f>
        <v>24432.4</v>
      </c>
      <c r="I575" s="9" t="n">
        <f aca="false">H575-$C575</f>
        <v>24432.4</v>
      </c>
      <c r="J575" s="9" t="n">
        <f aca="false">J574+I575</f>
        <v>13543459.4800001</v>
      </c>
      <c r="K575" s="37" t="str">
        <f aca="false">IF(AND(J574&lt;0,J575&gt;=0,A575&lt;=MAX(120,Premissas!$B$15*12)),(A575-1)+(-J574)/I575,"")</f>
        <v/>
      </c>
      <c r="L575" s="9" t="n">
        <f aca="false">Resultados!$E$39*$B575-Resultados!$F$39*$B575-Premissas!$B$24-Resultados!$E$39*$B575*(Premissas!$B$14/100)</f>
        <v>29837.8</v>
      </c>
      <c r="M575" s="9" t="n">
        <f aca="false">L575-$C575</f>
        <v>29837.8</v>
      </c>
      <c r="N575" s="9" t="n">
        <f aca="false">N574+M575</f>
        <v>16612105.0600002</v>
      </c>
      <c r="O575" s="37" t="str">
        <f aca="false">IF(AND(N574&lt;0,N575&gt;=0,A575&lt;=MAX(120,Premissas!$B$15*12)),(A575-1)+(-N574)/M575,"")</f>
        <v/>
      </c>
      <c r="P575" s="9" t="n">
        <f aca="false">Resultados!$B$19*$B575-Resultados!$B$20*$B575-Premissas!$B$24-Resultados!$B$19*$B575*(Premissas!$B$14/100)</f>
        <v>24432.4</v>
      </c>
      <c r="Q575" s="9" t="n">
        <f aca="false">P575-$C575</f>
        <v>24432.4</v>
      </c>
      <c r="R575" s="9" t="n">
        <f aca="false">R574+Q575</f>
        <v>13543459.4800001</v>
      </c>
      <c r="S575" s="37" t="str">
        <f aca="false">IF(AND(R574&lt;0,R575&gt;=0,A575&lt;=MAX(120,Premissas!$B$15*12)),(A575-1)+(-R574)/Q575,"")</f>
        <v/>
      </c>
    </row>
    <row r="576" customFormat="false" ht="15" hidden="false" customHeight="false" outlineLevel="0" collapsed="false">
      <c r="A576" s="10" t="n">
        <f aca="false">A575+1</f>
        <v>572</v>
      </c>
      <c r="B576" s="36" t="n">
        <f aca="false">IF(Premissas!$B$9&lt;=1,1,MIN(1,Premissas!$B$8/100+(1-Premissas!$B$8/100)*(A576-1)/(Premissas!$B$9-1)))</f>
        <v>1</v>
      </c>
      <c r="C576" s="9" t="n">
        <f aca="false">IF(A576&lt;=Resultados!$B$9,Resultados!$B$10,0)</f>
        <v>0</v>
      </c>
      <c r="D576" s="9" t="n">
        <f aca="false">Resultados!$E$37*$B576-Resultados!$F$37*$B576-Premissas!$B$24-Resultados!$E$37*$B576*(Premissas!$B$14/100)</f>
        <v>19027</v>
      </c>
      <c r="E576" s="9" t="n">
        <f aca="false">D576-$C576</f>
        <v>19027</v>
      </c>
      <c r="F576" s="9" t="n">
        <f aca="false">F575+E576</f>
        <v>10493840.9</v>
      </c>
      <c r="G576" s="37" t="str">
        <f aca="false">IF(AND(F575&lt;0,F576&gt;=0,A576&lt;=MAX(120,Premissas!$B$15*12)),(A576-1)+(-F575)/E576,"")</f>
        <v/>
      </c>
      <c r="H576" s="9" t="n">
        <f aca="false">Resultados!$E$38*$B576-Resultados!$F$38*$B576-Premissas!$B$24-Resultados!$E$38*$B576*(Premissas!$B$14/100)</f>
        <v>24432.4</v>
      </c>
      <c r="I576" s="9" t="n">
        <f aca="false">H576-$C576</f>
        <v>24432.4</v>
      </c>
      <c r="J576" s="9" t="n">
        <f aca="false">J575+I576</f>
        <v>13567891.8800001</v>
      </c>
      <c r="K576" s="37" t="str">
        <f aca="false">IF(AND(J575&lt;0,J576&gt;=0,A576&lt;=MAX(120,Premissas!$B$15*12)),(A576-1)+(-J575)/I576,"")</f>
        <v/>
      </c>
      <c r="L576" s="9" t="n">
        <f aca="false">Resultados!$E$39*$B576-Resultados!$F$39*$B576-Premissas!$B$24-Resultados!$E$39*$B576*(Premissas!$B$14/100)</f>
        <v>29837.8</v>
      </c>
      <c r="M576" s="9" t="n">
        <f aca="false">L576-$C576</f>
        <v>29837.8</v>
      </c>
      <c r="N576" s="9" t="n">
        <f aca="false">N575+M576</f>
        <v>16641942.8600002</v>
      </c>
      <c r="O576" s="37" t="str">
        <f aca="false">IF(AND(N575&lt;0,N576&gt;=0,A576&lt;=MAX(120,Premissas!$B$15*12)),(A576-1)+(-N575)/M576,"")</f>
        <v/>
      </c>
      <c r="P576" s="9" t="n">
        <f aca="false">Resultados!$B$19*$B576-Resultados!$B$20*$B576-Premissas!$B$24-Resultados!$B$19*$B576*(Premissas!$B$14/100)</f>
        <v>24432.4</v>
      </c>
      <c r="Q576" s="9" t="n">
        <f aca="false">P576-$C576</f>
        <v>24432.4</v>
      </c>
      <c r="R576" s="9" t="n">
        <f aca="false">R575+Q576</f>
        <v>13567891.8800001</v>
      </c>
      <c r="S576" s="37" t="str">
        <f aca="false">IF(AND(R575&lt;0,R576&gt;=0,A576&lt;=MAX(120,Premissas!$B$15*12)),(A576-1)+(-R575)/Q576,"")</f>
        <v/>
      </c>
    </row>
    <row r="577" customFormat="false" ht="15" hidden="false" customHeight="false" outlineLevel="0" collapsed="false">
      <c r="A577" s="10" t="n">
        <f aca="false">A576+1</f>
        <v>573</v>
      </c>
      <c r="B577" s="36" t="n">
        <f aca="false">IF(Premissas!$B$9&lt;=1,1,MIN(1,Premissas!$B$8/100+(1-Premissas!$B$8/100)*(A577-1)/(Premissas!$B$9-1)))</f>
        <v>1</v>
      </c>
      <c r="C577" s="9" t="n">
        <f aca="false">IF(A577&lt;=Resultados!$B$9,Resultados!$B$10,0)</f>
        <v>0</v>
      </c>
      <c r="D577" s="9" t="n">
        <f aca="false">Resultados!$E$37*$B577-Resultados!$F$37*$B577-Premissas!$B$24-Resultados!$E$37*$B577*(Premissas!$B$14/100)</f>
        <v>19027</v>
      </c>
      <c r="E577" s="9" t="n">
        <f aca="false">D577-$C577</f>
        <v>19027</v>
      </c>
      <c r="F577" s="9" t="n">
        <f aca="false">F576+E577</f>
        <v>10512867.9</v>
      </c>
      <c r="G577" s="37" t="str">
        <f aca="false">IF(AND(F576&lt;0,F577&gt;=0,A577&lt;=MAX(120,Premissas!$B$15*12)),(A577-1)+(-F576)/E577,"")</f>
        <v/>
      </c>
      <c r="H577" s="9" t="n">
        <f aca="false">Resultados!$E$38*$B577-Resultados!$F$38*$B577-Premissas!$B$24-Resultados!$E$38*$B577*(Premissas!$B$14/100)</f>
        <v>24432.4</v>
      </c>
      <c r="I577" s="9" t="n">
        <f aca="false">H577-$C577</f>
        <v>24432.4</v>
      </c>
      <c r="J577" s="9" t="n">
        <f aca="false">J576+I577</f>
        <v>13592324.2800001</v>
      </c>
      <c r="K577" s="37" t="str">
        <f aca="false">IF(AND(J576&lt;0,J577&gt;=0,A577&lt;=MAX(120,Premissas!$B$15*12)),(A577-1)+(-J576)/I577,"")</f>
        <v/>
      </c>
      <c r="L577" s="9" t="n">
        <f aca="false">Resultados!$E$39*$B577-Resultados!$F$39*$B577-Premissas!$B$24-Resultados!$E$39*$B577*(Premissas!$B$14/100)</f>
        <v>29837.8</v>
      </c>
      <c r="M577" s="9" t="n">
        <f aca="false">L577-$C577</f>
        <v>29837.8</v>
      </c>
      <c r="N577" s="9" t="n">
        <f aca="false">N576+M577</f>
        <v>16671780.6600002</v>
      </c>
      <c r="O577" s="37" t="str">
        <f aca="false">IF(AND(N576&lt;0,N577&gt;=0,A577&lt;=MAX(120,Premissas!$B$15*12)),(A577-1)+(-N576)/M577,"")</f>
        <v/>
      </c>
      <c r="P577" s="9" t="n">
        <f aca="false">Resultados!$B$19*$B577-Resultados!$B$20*$B577-Premissas!$B$24-Resultados!$B$19*$B577*(Premissas!$B$14/100)</f>
        <v>24432.4</v>
      </c>
      <c r="Q577" s="9" t="n">
        <f aca="false">P577-$C577</f>
        <v>24432.4</v>
      </c>
      <c r="R577" s="9" t="n">
        <f aca="false">R576+Q577</f>
        <v>13592324.2800001</v>
      </c>
      <c r="S577" s="37" t="str">
        <f aca="false">IF(AND(R576&lt;0,R577&gt;=0,A577&lt;=MAX(120,Premissas!$B$15*12)),(A577-1)+(-R576)/Q577,"")</f>
        <v/>
      </c>
    </row>
    <row r="578" customFormat="false" ht="15" hidden="false" customHeight="false" outlineLevel="0" collapsed="false">
      <c r="A578" s="10" t="n">
        <f aca="false">A577+1</f>
        <v>574</v>
      </c>
      <c r="B578" s="36" t="n">
        <f aca="false">IF(Premissas!$B$9&lt;=1,1,MIN(1,Premissas!$B$8/100+(1-Premissas!$B$8/100)*(A578-1)/(Premissas!$B$9-1)))</f>
        <v>1</v>
      </c>
      <c r="C578" s="9" t="n">
        <f aca="false">IF(A578&lt;=Resultados!$B$9,Resultados!$B$10,0)</f>
        <v>0</v>
      </c>
      <c r="D578" s="9" t="n">
        <f aca="false">Resultados!$E$37*$B578-Resultados!$F$37*$B578-Premissas!$B$24-Resultados!$E$37*$B578*(Premissas!$B$14/100)</f>
        <v>19027</v>
      </c>
      <c r="E578" s="9" t="n">
        <f aca="false">D578-$C578</f>
        <v>19027</v>
      </c>
      <c r="F578" s="9" t="n">
        <f aca="false">F577+E578</f>
        <v>10531894.9</v>
      </c>
      <c r="G578" s="37" t="str">
        <f aca="false">IF(AND(F577&lt;0,F578&gt;=0,A578&lt;=MAX(120,Premissas!$B$15*12)),(A578-1)+(-F577)/E578,"")</f>
        <v/>
      </c>
      <c r="H578" s="9" t="n">
        <f aca="false">Resultados!$E$38*$B578-Resultados!$F$38*$B578-Premissas!$B$24-Resultados!$E$38*$B578*(Premissas!$B$14/100)</f>
        <v>24432.4</v>
      </c>
      <c r="I578" s="9" t="n">
        <f aca="false">H578-$C578</f>
        <v>24432.4</v>
      </c>
      <c r="J578" s="9" t="n">
        <f aca="false">J577+I578</f>
        <v>13616756.6800001</v>
      </c>
      <c r="K578" s="37" t="str">
        <f aca="false">IF(AND(J577&lt;0,J578&gt;=0,A578&lt;=MAX(120,Premissas!$B$15*12)),(A578-1)+(-J577)/I578,"")</f>
        <v/>
      </c>
      <c r="L578" s="9" t="n">
        <f aca="false">Resultados!$E$39*$B578-Resultados!$F$39*$B578-Premissas!$B$24-Resultados!$E$39*$B578*(Premissas!$B$14/100)</f>
        <v>29837.8</v>
      </c>
      <c r="M578" s="9" t="n">
        <f aca="false">L578-$C578</f>
        <v>29837.8</v>
      </c>
      <c r="N578" s="9" t="n">
        <f aca="false">N577+M578</f>
        <v>16701618.4600002</v>
      </c>
      <c r="O578" s="37" t="str">
        <f aca="false">IF(AND(N577&lt;0,N578&gt;=0,A578&lt;=MAX(120,Premissas!$B$15*12)),(A578-1)+(-N577)/M578,"")</f>
        <v/>
      </c>
      <c r="P578" s="9" t="n">
        <f aca="false">Resultados!$B$19*$B578-Resultados!$B$20*$B578-Premissas!$B$24-Resultados!$B$19*$B578*(Premissas!$B$14/100)</f>
        <v>24432.4</v>
      </c>
      <c r="Q578" s="9" t="n">
        <f aca="false">P578-$C578</f>
        <v>24432.4</v>
      </c>
      <c r="R578" s="9" t="n">
        <f aca="false">R577+Q578</f>
        <v>13616756.6800001</v>
      </c>
      <c r="S578" s="37" t="str">
        <f aca="false">IF(AND(R577&lt;0,R578&gt;=0,A578&lt;=MAX(120,Premissas!$B$15*12)),(A578-1)+(-R577)/Q578,"")</f>
        <v/>
      </c>
    </row>
    <row r="579" customFormat="false" ht="15" hidden="false" customHeight="false" outlineLevel="0" collapsed="false">
      <c r="A579" s="10" t="n">
        <f aca="false">A578+1</f>
        <v>575</v>
      </c>
      <c r="B579" s="36" t="n">
        <f aca="false">IF(Premissas!$B$9&lt;=1,1,MIN(1,Premissas!$B$8/100+(1-Premissas!$B$8/100)*(A579-1)/(Premissas!$B$9-1)))</f>
        <v>1</v>
      </c>
      <c r="C579" s="9" t="n">
        <f aca="false">IF(A579&lt;=Resultados!$B$9,Resultados!$B$10,0)</f>
        <v>0</v>
      </c>
      <c r="D579" s="9" t="n">
        <f aca="false">Resultados!$E$37*$B579-Resultados!$F$37*$B579-Premissas!$B$24-Resultados!$E$37*$B579*(Premissas!$B$14/100)</f>
        <v>19027</v>
      </c>
      <c r="E579" s="9" t="n">
        <f aca="false">D579-$C579</f>
        <v>19027</v>
      </c>
      <c r="F579" s="9" t="n">
        <f aca="false">F578+E579</f>
        <v>10550921.9</v>
      </c>
      <c r="G579" s="37" t="str">
        <f aca="false">IF(AND(F578&lt;0,F579&gt;=0,A579&lt;=MAX(120,Premissas!$B$15*12)),(A579-1)+(-F578)/E579,"")</f>
        <v/>
      </c>
      <c r="H579" s="9" t="n">
        <f aca="false">Resultados!$E$38*$B579-Resultados!$F$38*$B579-Premissas!$B$24-Resultados!$E$38*$B579*(Premissas!$B$14/100)</f>
        <v>24432.4</v>
      </c>
      <c r="I579" s="9" t="n">
        <f aca="false">H579-$C579</f>
        <v>24432.4</v>
      </c>
      <c r="J579" s="9" t="n">
        <f aca="false">J578+I579</f>
        <v>13641189.0800001</v>
      </c>
      <c r="K579" s="37" t="str">
        <f aca="false">IF(AND(J578&lt;0,J579&gt;=0,A579&lt;=MAX(120,Premissas!$B$15*12)),(A579-1)+(-J578)/I579,"")</f>
        <v/>
      </c>
      <c r="L579" s="9" t="n">
        <f aca="false">Resultados!$E$39*$B579-Resultados!$F$39*$B579-Premissas!$B$24-Resultados!$E$39*$B579*(Premissas!$B$14/100)</f>
        <v>29837.8</v>
      </c>
      <c r="M579" s="9" t="n">
        <f aca="false">L579-$C579</f>
        <v>29837.8</v>
      </c>
      <c r="N579" s="9" t="n">
        <f aca="false">N578+M579</f>
        <v>16731456.2600002</v>
      </c>
      <c r="O579" s="37" t="str">
        <f aca="false">IF(AND(N578&lt;0,N579&gt;=0,A579&lt;=MAX(120,Premissas!$B$15*12)),(A579-1)+(-N578)/M579,"")</f>
        <v/>
      </c>
      <c r="P579" s="9" t="n">
        <f aca="false">Resultados!$B$19*$B579-Resultados!$B$20*$B579-Premissas!$B$24-Resultados!$B$19*$B579*(Premissas!$B$14/100)</f>
        <v>24432.4</v>
      </c>
      <c r="Q579" s="9" t="n">
        <f aca="false">P579-$C579</f>
        <v>24432.4</v>
      </c>
      <c r="R579" s="9" t="n">
        <f aca="false">R578+Q579</f>
        <v>13641189.0800001</v>
      </c>
      <c r="S579" s="37" t="str">
        <f aca="false">IF(AND(R578&lt;0,R579&gt;=0,A579&lt;=MAX(120,Premissas!$B$15*12)),(A579-1)+(-R578)/Q579,"")</f>
        <v/>
      </c>
    </row>
    <row r="580" customFormat="false" ht="15" hidden="false" customHeight="false" outlineLevel="0" collapsed="false">
      <c r="A580" s="10" t="n">
        <f aca="false">A579+1</f>
        <v>576</v>
      </c>
      <c r="B580" s="36" t="n">
        <f aca="false">IF(Premissas!$B$9&lt;=1,1,MIN(1,Premissas!$B$8/100+(1-Premissas!$B$8/100)*(A580-1)/(Premissas!$B$9-1)))</f>
        <v>1</v>
      </c>
      <c r="C580" s="9" t="n">
        <f aca="false">IF(A580&lt;=Resultados!$B$9,Resultados!$B$10,0)</f>
        <v>0</v>
      </c>
      <c r="D580" s="9" t="n">
        <f aca="false">Resultados!$E$37*$B580-Resultados!$F$37*$B580-Premissas!$B$24-Resultados!$E$37*$B580*(Premissas!$B$14/100)</f>
        <v>19027</v>
      </c>
      <c r="E580" s="9" t="n">
        <f aca="false">D580-$C580</f>
        <v>19027</v>
      </c>
      <c r="F580" s="9" t="n">
        <f aca="false">F579+E580</f>
        <v>10569948.9</v>
      </c>
      <c r="G580" s="37" t="str">
        <f aca="false">IF(AND(F579&lt;0,F580&gt;=0,A580&lt;=MAX(120,Premissas!$B$15*12)),(A580-1)+(-F579)/E580,"")</f>
        <v/>
      </c>
      <c r="H580" s="9" t="n">
        <f aca="false">Resultados!$E$38*$B580-Resultados!$F$38*$B580-Premissas!$B$24-Resultados!$E$38*$B580*(Premissas!$B$14/100)</f>
        <v>24432.4</v>
      </c>
      <c r="I580" s="9" t="n">
        <f aca="false">H580-$C580</f>
        <v>24432.4</v>
      </c>
      <c r="J580" s="9" t="n">
        <f aca="false">J579+I580</f>
        <v>13665621.4800001</v>
      </c>
      <c r="K580" s="37" t="str">
        <f aca="false">IF(AND(J579&lt;0,J580&gt;=0,A580&lt;=MAX(120,Premissas!$B$15*12)),(A580-1)+(-J579)/I580,"")</f>
        <v/>
      </c>
      <c r="L580" s="9" t="n">
        <f aca="false">Resultados!$E$39*$B580-Resultados!$F$39*$B580-Premissas!$B$24-Resultados!$E$39*$B580*(Premissas!$B$14/100)</f>
        <v>29837.8</v>
      </c>
      <c r="M580" s="9" t="n">
        <f aca="false">L580-$C580</f>
        <v>29837.8</v>
      </c>
      <c r="N580" s="9" t="n">
        <f aca="false">N579+M580</f>
        <v>16761294.0600002</v>
      </c>
      <c r="O580" s="37" t="str">
        <f aca="false">IF(AND(N579&lt;0,N580&gt;=0,A580&lt;=MAX(120,Premissas!$B$15*12)),(A580-1)+(-N579)/M580,"")</f>
        <v/>
      </c>
      <c r="P580" s="9" t="n">
        <f aca="false">Resultados!$B$19*$B580-Resultados!$B$20*$B580-Premissas!$B$24-Resultados!$B$19*$B580*(Premissas!$B$14/100)</f>
        <v>24432.4</v>
      </c>
      <c r="Q580" s="9" t="n">
        <f aca="false">P580-$C580</f>
        <v>24432.4</v>
      </c>
      <c r="R580" s="9" t="n">
        <f aca="false">R579+Q580</f>
        <v>13665621.4800001</v>
      </c>
      <c r="S580" s="37" t="str">
        <f aca="false">IF(AND(R579&lt;0,R580&gt;=0,A580&lt;=MAX(120,Premissas!$B$15*12)),(A580-1)+(-R579)/Q580,"")</f>
        <v/>
      </c>
    </row>
    <row r="581" customFormat="false" ht="15" hidden="false" customHeight="false" outlineLevel="0" collapsed="false">
      <c r="A581" s="10" t="n">
        <f aca="false">A580+1</f>
        <v>577</v>
      </c>
      <c r="B581" s="36" t="n">
        <f aca="false">IF(Premissas!$B$9&lt;=1,1,MIN(1,Premissas!$B$8/100+(1-Premissas!$B$8/100)*(A581-1)/(Premissas!$B$9-1)))</f>
        <v>1</v>
      </c>
      <c r="C581" s="9" t="n">
        <f aca="false">IF(A581&lt;=Resultados!$B$9,Resultados!$B$10,0)</f>
        <v>0</v>
      </c>
      <c r="D581" s="9" t="n">
        <f aca="false">Resultados!$E$37*$B581-Resultados!$F$37*$B581-Premissas!$B$24-Resultados!$E$37*$B581*(Premissas!$B$14/100)</f>
        <v>19027</v>
      </c>
      <c r="E581" s="9" t="n">
        <f aca="false">D581-$C581</f>
        <v>19027</v>
      </c>
      <c r="F581" s="9" t="n">
        <f aca="false">F580+E581</f>
        <v>10588975.9</v>
      </c>
      <c r="G581" s="37" t="str">
        <f aca="false">IF(AND(F580&lt;0,F581&gt;=0,A581&lt;=MAX(120,Premissas!$B$15*12)),(A581-1)+(-F580)/E581,"")</f>
        <v/>
      </c>
      <c r="H581" s="9" t="n">
        <f aca="false">Resultados!$E$38*$B581-Resultados!$F$38*$B581-Premissas!$B$24-Resultados!$E$38*$B581*(Premissas!$B$14/100)</f>
        <v>24432.4</v>
      </c>
      <c r="I581" s="9" t="n">
        <f aca="false">H581-$C581</f>
        <v>24432.4</v>
      </c>
      <c r="J581" s="9" t="n">
        <f aca="false">J580+I581</f>
        <v>13690053.8800001</v>
      </c>
      <c r="K581" s="37" t="str">
        <f aca="false">IF(AND(J580&lt;0,J581&gt;=0,A581&lt;=MAX(120,Premissas!$B$15*12)),(A581-1)+(-J580)/I581,"")</f>
        <v/>
      </c>
      <c r="L581" s="9" t="n">
        <f aca="false">Resultados!$E$39*$B581-Resultados!$F$39*$B581-Premissas!$B$24-Resultados!$E$39*$B581*(Premissas!$B$14/100)</f>
        <v>29837.8</v>
      </c>
      <c r="M581" s="9" t="n">
        <f aca="false">L581-$C581</f>
        <v>29837.8</v>
      </c>
      <c r="N581" s="9" t="n">
        <f aca="false">N580+M581</f>
        <v>16791131.8600002</v>
      </c>
      <c r="O581" s="37" t="str">
        <f aca="false">IF(AND(N580&lt;0,N581&gt;=0,A581&lt;=MAX(120,Premissas!$B$15*12)),(A581-1)+(-N580)/M581,"")</f>
        <v/>
      </c>
      <c r="P581" s="9" t="n">
        <f aca="false">Resultados!$B$19*$B581-Resultados!$B$20*$B581-Premissas!$B$24-Resultados!$B$19*$B581*(Premissas!$B$14/100)</f>
        <v>24432.4</v>
      </c>
      <c r="Q581" s="9" t="n">
        <f aca="false">P581-$C581</f>
        <v>24432.4</v>
      </c>
      <c r="R581" s="9" t="n">
        <f aca="false">R580+Q581</f>
        <v>13690053.8800001</v>
      </c>
      <c r="S581" s="37" t="str">
        <f aca="false">IF(AND(R580&lt;0,R581&gt;=0,A581&lt;=MAX(120,Premissas!$B$15*12)),(A581-1)+(-R580)/Q581,"")</f>
        <v/>
      </c>
    </row>
    <row r="582" customFormat="false" ht="15" hidden="false" customHeight="false" outlineLevel="0" collapsed="false">
      <c r="A582" s="10" t="n">
        <f aca="false">A581+1</f>
        <v>578</v>
      </c>
      <c r="B582" s="36" t="n">
        <f aca="false">IF(Premissas!$B$9&lt;=1,1,MIN(1,Premissas!$B$8/100+(1-Premissas!$B$8/100)*(A582-1)/(Premissas!$B$9-1)))</f>
        <v>1</v>
      </c>
      <c r="C582" s="9" t="n">
        <f aca="false">IF(A582&lt;=Resultados!$B$9,Resultados!$B$10,0)</f>
        <v>0</v>
      </c>
      <c r="D582" s="9" t="n">
        <f aca="false">Resultados!$E$37*$B582-Resultados!$F$37*$B582-Premissas!$B$24-Resultados!$E$37*$B582*(Premissas!$B$14/100)</f>
        <v>19027</v>
      </c>
      <c r="E582" s="9" t="n">
        <f aca="false">D582-$C582</f>
        <v>19027</v>
      </c>
      <c r="F582" s="9" t="n">
        <f aca="false">F581+E582</f>
        <v>10608002.9</v>
      </c>
      <c r="G582" s="37" t="str">
        <f aca="false">IF(AND(F581&lt;0,F582&gt;=0,A582&lt;=MAX(120,Premissas!$B$15*12)),(A582-1)+(-F581)/E582,"")</f>
        <v/>
      </c>
      <c r="H582" s="9" t="n">
        <f aca="false">Resultados!$E$38*$B582-Resultados!$F$38*$B582-Premissas!$B$24-Resultados!$E$38*$B582*(Premissas!$B$14/100)</f>
        <v>24432.4</v>
      </c>
      <c r="I582" s="9" t="n">
        <f aca="false">H582-$C582</f>
        <v>24432.4</v>
      </c>
      <c r="J582" s="9" t="n">
        <f aca="false">J581+I582</f>
        <v>13714486.2800001</v>
      </c>
      <c r="K582" s="37" t="str">
        <f aca="false">IF(AND(J581&lt;0,J582&gt;=0,A582&lt;=MAX(120,Premissas!$B$15*12)),(A582-1)+(-J581)/I582,"")</f>
        <v/>
      </c>
      <c r="L582" s="9" t="n">
        <f aca="false">Resultados!$E$39*$B582-Resultados!$F$39*$B582-Premissas!$B$24-Resultados!$E$39*$B582*(Premissas!$B$14/100)</f>
        <v>29837.8</v>
      </c>
      <c r="M582" s="9" t="n">
        <f aca="false">L582-$C582</f>
        <v>29837.8</v>
      </c>
      <c r="N582" s="9" t="n">
        <f aca="false">N581+M582</f>
        <v>16820969.6600002</v>
      </c>
      <c r="O582" s="37" t="str">
        <f aca="false">IF(AND(N581&lt;0,N582&gt;=0,A582&lt;=MAX(120,Premissas!$B$15*12)),(A582-1)+(-N581)/M582,"")</f>
        <v/>
      </c>
      <c r="P582" s="9" t="n">
        <f aca="false">Resultados!$B$19*$B582-Resultados!$B$20*$B582-Premissas!$B$24-Resultados!$B$19*$B582*(Premissas!$B$14/100)</f>
        <v>24432.4</v>
      </c>
      <c r="Q582" s="9" t="n">
        <f aca="false">P582-$C582</f>
        <v>24432.4</v>
      </c>
      <c r="R582" s="9" t="n">
        <f aca="false">R581+Q582</f>
        <v>13714486.2800001</v>
      </c>
      <c r="S582" s="37" t="str">
        <f aca="false">IF(AND(R581&lt;0,R582&gt;=0,A582&lt;=MAX(120,Premissas!$B$15*12)),(A582-1)+(-R581)/Q582,"")</f>
        <v/>
      </c>
    </row>
    <row r="583" customFormat="false" ht="15" hidden="false" customHeight="false" outlineLevel="0" collapsed="false">
      <c r="A583" s="10" t="n">
        <f aca="false">A582+1</f>
        <v>579</v>
      </c>
      <c r="B583" s="36" t="n">
        <f aca="false">IF(Premissas!$B$9&lt;=1,1,MIN(1,Premissas!$B$8/100+(1-Premissas!$B$8/100)*(A583-1)/(Premissas!$B$9-1)))</f>
        <v>1</v>
      </c>
      <c r="C583" s="9" t="n">
        <f aca="false">IF(A583&lt;=Resultados!$B$9,Resultados!$B$10,0)</f>
        <v>0</v>
      </c>
      <c r="D583" s="9" t="n">
        <f aca="false">Resultados!$E$37*$B583-Resultados!$F$37*$B583-Premissas!$B$24-Resultados!$E$37*$B583*(Premissas!$B$14/100)</f>
        <v>19027</v>
      </c>
      <c r="E583" s="9" t="n">
        <f aca="false">D583-$C583</f>
        <v>19027</v>
      </c>
      <c r="F583" s="9" t="n">
        <f aca="false">F582+E583</f>
        <v>10627029.9</v>
      </c>
      <c r="G583" s="37" t="str">
        <f aca="false">IF(AND(F582&lt;0,F583&gt;=0,A583&lt;=MAX(120,Premissas!$B$15*12)),(A583-1)+(-F582)/E583,"")</f>
        <v/>
      </c>
      <c r="H583" s="9" t="n">
        <f aca="false">Resultados!$E$38*$B583-Resultados!$F$38*$B583-Premissas!$B$24-Resultados!$E$38*$B583*(Premissas!$B$14/100)</f>
        <v>24432.4</v>
      </c>
      <c r="I583" s="9" t="n">
        <f aca="false">H583-$C583</f>
        <v>24432.4</v>
      </c>
      <c r="J583" s="9" t="n">
        <f aca="false">J582+I583</f>
        <v>13738918.6800001</v>
      </c>
      <c r="K583" s="37" t="str">
        <f aca="false">IF(AND(J582&lt;0,J583&gt;=0,A583&lt;=MAX(120,Premissas!$B$15*12)),(A583-1)+(-J582)/I583,"")</f>
        <v/>
      </c>
      <c r="L583" s="9" t="n">
        <f aca="false">Resultados!$E$39*$B583-Resultados!$F$39*$B583-Premissas!$B$24-Resultados!$E$39*$B583*(Premissas!$B$14/100)</f>
        <v>29837.8</v>
      </c>
      <c r="M583" s="9" t="n">
        <f aca="false">L583-$C583</f>
        <v>29837.8</v>
      </c>
      <c r="N583" s="9" t="n">
        <f aca="false">N582+M583</f>
        <v>16850807.4600002</v>
      </c>
      <c r="O583" s="37" t="str">
        <f aca="false">IF(AND(N582&lt;0,N583&gt;=0,A583&lt;=MAX(120,Premissas!$B$15*12)),(A583-1)+(-N582)/M583,"")</f>
        <v/>
      </c>
      <c r="P583" s="9" t="n">
        <f aca="false">Resultados!$B$19*$B583-Resultados!$B$20*$B583-Premissas!$B$24-Resultados!$B$19*$B583*(Premissas!$B$14/100)</f>
        <v>24432.4</v>
      </c>
      <c r="Q583" s="9" t="n">
        <f aca="false">P583-$C583</f>
        <v>24432.4</v>
      </c>
      <c r="R583" s="9" t="n">
        <f aca="false">R582+Q583</f>
        <v>13738918.6800001</v>
      </c>
      <c r="S583" s="37" t="str">
        <f aca="false">IF(AND(R582&lt;0,R583&gt;=0,A583&lt;=MAX(120,Premissas!$B$15*12)),(A583-1)+(-R582)/Q583,"")</f>
        <v/>
      </c>
    </row>
    <row r="584" customFormat="false" ht="15" hidden="false" customHeight="false" outlineLevel="0" collapsed="false">
      <c r="A584" s="10" t="n">
        <f aca="false">A583+1</f>
        <v>580</v>
      </c>
      <c r="B584" s="36" t="n">
        <f aca="false">IF(Premissas!$B$9&lt;=1,1,MIN(1,Premissas!$B$8/100+(1-Premissas!$B$8/100)*(A584-1)/(Premissas!$B$9-1)))</f>
        <v>1</v>
      </c>
      <c r="C584" s="9" t="n">
        <f aca="false">IF(A584&lt;=Resultados!$B$9,Resultados!$B$10,0)</f>
        <v>0</v>
      </c>
      <c r="D584" s="9" t="n">
        <f aca="false">Resultados!$E$37*$B584-Resultados!$F$37*$B584-Premissas!$B$24-Resultados!$E$37*$B584*(Premissas!$B$14/100)</f>
        <v>19027</v>
      </c>
      <c r="E584" s="9" t="n">
        <f aca="false">D584-$C584</f>
        <v>19027</v>
      </c>
      <c r="F584" s="9" t="n">
        <f aca="false">F583+E584</f>
        <v>10646056.9</v>
      </c>
      <c r="G584" s="37" t="str">
        <f aca="false">IF(AND(F583&lt;0,F584&gt;=0,A584&lt;=MAX(120,Premissas!$B$15*12)),(A584-1)+(-F583)/E584,"")</f>
        <v/>
      </c>
      <c r="H584" s="9" t="n">
        <f aca="false">Resultados!$E$38*$B584-Resultados!$F$38*$B584-Premissas!$B$24-Resultados!$E$38*$B584*(Premissas!$B$14/100)</f>
        <v>24432.4</v>
      </c>
      <c r="I584" s="9" t="n">
        <f aca="false">H584-$C584</f>
        <v>24432.4</v>
      </c>
      <c r="J584" s="9" t="n">
        <f aca="false">J583+I584</f>
        <v>13763351.0800001</v>
      </c>
      <c r="K584" s="37" t="str">
        <f aca="false">IF(AND(J583&lt;0,J584&gt;=0,A584&lt;=MAX(120,Premissas!$B$15*12)),(A584-1)+(-J583)/I584,"")</f>
        <v/>
      </c>
      <c r="L584" s="9" t="n">
        <f aca="false">Resultados!$E$39*$B584-Resultados!$F$39*$B584-Premissas!$B$24-Resultados!$E$39*$B584*(Premissas!$B$14/100)</f>
        <v>29837.8</v>
      </c>
      <c r="M584" s="9" t="n">
        <f aca="false">L584-$C584</f>
        <v>29837.8</v>
      </c>
      <c r="N584" s="9" t="n">
        <f aca="false">N583+M584</f>
        <v>16880645.2600002</v>
      </c>
      <c r="O584" s="37" t="str">
        <f aca="false">IF(AND(N583&lt;0,N584&gt;=0,A584&lt;=MAX(120,Premissas!$B$15*12)),(A584-1)+(-N583)/M584,"")</f>
        <v/>
      </c>
      <c r="P584" s="9" t="n">
        <f aca="false">Resultados!$B$19*$B584-Resultados!$B$20*$B584-Premissas!$B$24-Resultados!$B$19*$B584*(Premissas!$B$14/100)</f>
        <v>24432.4</v>
      </c>
      <c r="Q584" s="9" t="n">
        <f aca="false">P584-$C584</f>
        <v>24432.4</v>
      </c>
      <c r="R584" s="9" t="n">
        <f aca="false">R583+Q584</f>
        <v>13763351.0800001</v>
      </c>
      <c r="S584" s="37" t="str">
        <f aca="false">IF(AND(R583&lt;0,R584&gt;=0,A584&lt;=MAX(120,Premissas!$B$15*12)),(A584-1)+(-R583)/Q584,"")</f>
        <v/>
      </c>
    </row>
    <row r="585" customFormat="false" ht="15" hidden="false" customHeight="false" outlineLevel="0" collapsed="false">
      <c r="A585" s="10" t="n">
        <f aca="false">A584+1</f>
        <v>581</v>
      </c>
      <c r="B585" s="36" t="n">
        <f aca="false">IF(Premissas!$B$9&lt;=1,1,MIN(1,Premissas!$B$8/100+(1-Premissas!$B$8/100)*(A585-1)/(Premissas!$B$9-1)))</f>
        <v>1</v>
      </c>
      <c r="C585" s="9" t="n">
        <f aca="false">IF(A585&lt;=Resultados!$B$9,Resultados!$B$10,0)</f>
        <v>0</v>
      </c>
      <c r="D585" s="9" t="n">
        <f aca="false">Resultados!$E$37*$B585-Resultados!$F$37*$B585-Premissas!$B$24-Resultados!$E$37*$B585*(Premissas!$B$14/100)</f>
        <v>19027</v>
      </c>
      <c r="E585" s="9" t="n">
        <f aca="false">D585-$C585</f>
        <v>19027</v>
      </c>
      <c r="F585" s="9" t="n">
        <f aca="false">F584+E585</f>
        <v>10665083.9</v>
      </c>
      <c r="G585" s="37" t="str">
        <f aca="false">IF(AND(F584&lt;0,F585&gt;=0,A585&lt;=MAX(120,Premissas!$B$15*12)),(A585-1)+(-F584)/E585,"")</f>
        <v/>
      </c>
      <c r="H585" s="9" t="n">
        <f aca="false">Resultados!$E$38*$B585-Resultados!$F$38*$B585-Premissas!$B$24-Resultados!$E$38*$B585*(Premissas!$B$14/100)</f>
        <v>24432.4</v>
      </c>
      <c r="I585" s="9" t="n">
        <f aca="false">H585-$C585</f>
        <v>24432.4</v>
      </c>
      <c r="J585" s="9" t="n">
        <f aca="false">J584+I585</f>
        <v>13787783.4800001</v>
      </c>
      <c r="K585" s="37" t="str">
        <f aca="false">IF(AND(J584&lt;0,J585&gt;=0,A585&lt;=MAX(120,Premissas!$B$15*12)),(A585-1)+(-J584)/I585,"")</f>
        <v/>
      </c>
      <c r="L585" s="9" t="n">
        <f aca="false">Resultados!$E$39*$B585-Resultados!$F$39*$B585-Premissas!$B$24-Resultados!$E$39*$B585*(Premissas!$B$14/100)</f>
        <v>29837.8</v>
      </c>
      <c r="M585" s="9" t="n">
        <f aca="false">L585-$C585</f>
        <v>29837.8</v>
      </c>
      <c r="N585" s="9" t="n">
        <f aca="false">N584+M585</f>
        <v>16910483.0600002</v>
      </c>
      <c r="O585" s="37" t="str">
        <f aca="false">IF(AND(N584&lt;0,N585&gt;=0,A585&lt;=MAX(120,Premissas!$B$15*12)),(A585-1)+(-N584)/M585,"")</f>
        <v/>
      </c>
      <c r="P585" s="9" t="n">
        <f aca="false">Resultados!$B$19*$B585-Resultados!$B$20*$B585-Premissas!$B$24-Resultados!$B$19*$B585*(Premissas!$B$14/100)</f>
        <v>24432.4</v>
      </c>
      <c r="Q585" s="9" t="n">
        <f aca="false">P585-$C585</f>
        <v>24432.4</v>
      </c>
      <c r="R585" s="9" t="n">
        <f aca="false">R584+Q585</f>
        <v>13787783.4800001</v>
      </c>
      <c r="S585" s="37" t="str">
        <f aca="false">IF(AND(R584&lt;0,R585&gt;=0,A585&lt;=MAX(120,Premissas!$B$15*12)),(A585-1)+(-R584)/Q585,"")</f>
        <v/>
      </c>
    </row>
    <row r="586" customFormat="false" ht="15" hidden="false" customHeight="false" outlineLevel="0" collapsed="false">
      <c r="A586" s="10" t="n">
        <f aca="false">A585+1</f>
        <v>582</v>
      </c>
      <c r="B586" s="36" t="n">
        <f aca="false">IF(Premissas!$B$9&lt;=1,1,MIN(1,Premissas!$B$8/100+(1-Premissas!$B$8/100)*(A586-1)/(Premissas!$B$9-1)))</f>
        <v>1</v>
      </c>
      <c r="C586" s="9" t="n">
        <f aca="false">IF(A586&lt;=Resultados!$B$9,Resultados!$B$10,0)</f>
        <v>0</v>
      </c>
      <c r="D586" s="9" t="n">
        <f aca="false">Resultados!$E$37*$B586-Resultados!$F$37*$B586-Premissas!$B$24-Resultados!$E$37*$B586*(Premissas!$B$14/100)</f>
        <v>19027</v>
      </c>
      <c r="E586" s="9" t="n">
        <f aca="false">D586-$C586</f>
        <v>19027</v>
      </c>
      <c r="F586" s="9" t="n">
        <f aca="false">F585+E586</f>
        <v>10684110.9</v>
      </c>
      <c r="G586" s="37" t="str">
        <f aca="false">IF(AND(F585&lt;0,F586&gt;=0,A586&lt;=MAX(120,Premissas!$B$15*12)),(A586-1)+(-F585)/E586,"")</f>
        <v/>
      </c>
      <c r="H586" s="9" t="n">
        <f aca="false">Resultados!$E$38*$B586-Resultados!$F$38*$B586-Premissas!$B$24-Resultados!$E$38*$B586*(Premissas!$B$14/100)</f>
        <v>24432.4</v>
      </c>
      <c r="I586" s="9" t="n">
        <f aca="false">H586-$C586</f>
        <v>24432.4</v>
      </c>
      <c r="J586" s="9" t="n">
        <f aca="false">J585+I586</f>
        <v>13812215.8800001</v>
      </c>
      <c r="K586" s="37" t="str">
        <f aca="false">IF(AND(J585&lt;0,J586&gt;=0,A586&lt;=MAX(120,Premissas!$B$15*12)),(A586-1)+(-J585)/I586,"")</f>
        <v/>
      </c>
      <c r="L586" s="9" t="n">
        <f aca="false">Resultados!$E$39*$B586-Resultados!$F$39*$B586-Premissas!$B$24-Resultados!$E$39*$B586*(Premissas!$B$14/100)</f>
        <v>29837.8</v>
      </c>
      <c r="M586" s="9" t="n">
        <f aca="false">L586-$C586</f>
        <v>29837.8</v>
      </c>
      <c r="N586" s="9" t="n">
        <f aca="false">N585+M586</f>
        <v>16940320.8600002</v>
      </c>
      <c r="O586" s="37" t="str">
        <f aca="false">IF(AND(N585&lt;0,N586&gt;=0,A586&lt;=MAX(120,Premissas!$B$15*12)),(A586-1)+(-N585)/M586,"")</f>
        <v/>
      </c>
      <c r="P586" s="9" t="n">
        <f aca="false">Resultados!$B$19*$B586-Resultados!$B$20*$B586-Premissas!$B$24-Resultados!$B$19*$B586*(Premissas!$B$14/100)</f>
        <v>24432.4</v>
      </c>
      <c r="Q586" s="9" t="n">
        <f aca="false">P586-$C586</f>
        <v>24432.4</v>
      </c>
      <c r="R586" s="9" t="n">
        <f aca="false">R585+Q586</f>
        <v>13812215.8800001</v>
      </c>
      <c r="S586" s="37" t="str">
        <f aca="false">IF(AND(R585&lt;0,R586&gt;=0,A586&lt;=MAX(120,Premissas!$B$15*12)),(A586-1)+(-R585)/Q586,"")</f>
        <v/>
      </c>
    </row>
    <row r="587" customFormat="false" ht="15" hidden="false" customHeight="false" outlineLevel="0" collapsed="false">
      <c r="A587" s="10" t="n">
        <f aca="false">A586+1</f>
        <v>583</v>
      </c>
      <c r="B587" s="36" t="n">
        <f aca="false">IF(Premissas!$B$9&lt;=1,1,MIN(1,Premissas!$B$8/100+(1-Premissas!$B$8/100)*(A587-1)/(Premissas!$B$9-1)))</f>
        <v>1</v>
      </c>
      <c r="C587" s="9" t="n">
        <f aca="false">IF(A587&lt;=Resultados!$B$9,Resultados!$B$10,0)</f>
        <v>0</v>
      </c>
      <c r="D587" s="9" t="n">
        <f aca="false">Resultados!$E$37*$B587-Resultados!$F$37*$B587-Premissas!$B$24-Resultados!$E$37*$B587*(Premissas!$B$14/100)</f>
        <v>19027</v>
      </c>
      <c r="E587" s="9" t="n">
        <f aca="false">D587-$C587</f>
        <v>19027</v>
      </c>
      <c r="F587" s="9" t="n">
        <f aca="false">F586+E587</f>
        <v>10703137.9</v>
      </c>
      <c r="G587" s="37" t="str">
        <f aca="false">IF(AND(F586&lt;0,F587&gt;=0,A587&lt;=MAX(120,Premissas!$B$15*12)),(A587-1)+(-F586)/E587,"")</f>
        <v/>
      </c>
      <c r="H587" s="9" t="n">
        <f aca="false">Resultados!$E$38*$B587-Resultados!$F$38*$B587-Premissas!$B$24-Resultados!$E$38*$B587*(Premissas!$B$14/100)</f>
        <v>24432.4</v>
      </c>
      <c r="I587" s="9" t="n">
        <f aca="false">H587-$C587</f>
        <v>24432.4</v>
      </c>
      <c r="J587" s="9" t="n">
        <f aca="false">J586+I587</f>
        <v>13836648.2800001</v>
      </c>
      <c r="K587" s="37" t="str">
        <f aca="false">IF(AND(J586&lt;0,J587&gt;=0,A587&lt;=MAX(120,Premissas!$B$15*12)),(A587-1)+(-J586)/I587,"")</f>
        <v/>
      </c>
      <c r="L587" s="9" t="n">
        <f aca="false">Resultados!$E$39*$B587-Resultados!$F$39*$B587-Premissas!$B$24-Resultados!$E$39*$B587*(Premissas!$B$14/100)</f>
        <v>29837.8</v>
      </c>
      <c r="M587" s="9" t="n">
        <f aca="false">L587-$C587</f>
        <v>29837.8</v>
      </c>
      <c r="N587" s="9" t="n">
        <f aca="false">N586+M587</f>
        <v>16970158.6600002</v>
      </c>
      <c r="O587" s="37" t="str">
        <f aca="false">IF(AND(N586&lt;0,N587&gt;=0,A587&lt;=MAX(120,Premissas!$B$15*12)),(A587-1)+(-N586)/M587,"")</f>
        <v/>
      </c>
      <c r="P587" s="9" t="n">
        <f aca="false">Resultados!$B$19*$B587-Resultados!$B$20*$B587-Premissas!$B$24-Resultados!$B$19*$B587*(Premissas!$B$14/100)</f>
        <v>24432.4</v>
      </c>
      <c r="Q587" s="9" t="n">
        <f aca="false">P587-$C587</f>
        <v>24432.4</v>
      </c>
      <c r="R587" s="9" t="n">
        <f aca="false">R586+Q587</f>
        <v>13836648.2800001</v>
      </c>
      <c r="S587" s="37" t="str">
        <f aca="false">IF(AND(R586&lt;0,R587&gt;=0,A587&lt;=MAX(120,Premissas!$B$15*12)),(A587-1)+(-R586)/Q587,"")</f>
        <v/>
      </c>
    </row>
    <row r="588" customFormat="false" ht="15" hidden="false" customHeight="false" outlineLevel="0" collapsed="false">
      <c r="A588" s="10" t="n">
        <f aca="false">A587+1</f>
        <v>584</v>
      </c>
      <c r="B588" s="36" t="n">
        <f aca="false">IF(Premissas!$B$9&lt;=1,1,MIN(1,Premissas!$B$8/100+(1-Premissas!$B$8/100)*(A588-1)/(Premissas!$B$9-1)))</f>
        <v>1</v>
      </c>
      <c r="C588" s="9" t="n">
        <f aca="false">IF(A588&lt;=Resultados!$B$9,Resultados!$B$10,0)</f>
        <v>0</v>
      </c>
      <c r="D588" s="9" t="n">
        <f aca="false">Resultados!$E$37*$B588-Resultados!$F$37*$B588-Premissas!$B$24-Resultados!$E$37*$B588*(Premissas!$B$14/100)</f>
        <v>19027</v>
      </c>
      <c r="E588" s="9" t="n">
        <f aca="false">D588-$C588</f>
        <v>19027</v>
      </c>
      <c r="F588" s="9" t="n">
        <f aca="false">F587+E588</f>
        <v>10722164.9</v>
      </c>
      <c r="G588" s="37" t="str">
        <f aca="false">IF(AND(F587&lt;0,F588&gt;=0,A588&lt;=MAX(120,Premissas!$B$15*12)),(A588-1)+(-F587)/E588,"")</f>
        <v/>
      </c>
      <c r="H588" s="9" t="n">
        <f aca="false">Resultados!$E$38*$B588-Resultados!$F$38*$B588-Premissas!$B$24-Resultados!$E$38*$B588*(Premissas!$B$14/100)</f>
        <v>24432.4</v>
      </c>
      <c r="I588" s="9" t="n">
        <f aca="false">H588-$C588</f>
        <v>24432.4</v>
      </c>
      <c r="J588" s="9" t="n">
        <f aca="false">J587+I588</f>
        <v>13861080.6800001</v>
      </c>
      <c r="K588" s="37" t="str">
        <f aca="false">IF(AND(J587&lt;0,J588&gt;=0,A588&lt;=MAX(120,Premissas!$B$15*12)),(A588-1)+(-J587)/I588,"")</f>
        <v/>
      </c>
      <c r="L588" s="9" t="n">
        <f aca="false">Resultados!$E$39*$B588-Resultados!$F$39*$B588-Premissas!$B$24-Resultados!$E$39*$B588*(Premissas!$B$14/100)</f>
        <v>29837.8</v>
      </c>
      <c r="M588" s="9" t="n">
        <f aca="false">L588-$C588</f>
        <v>29837.8</v>
      </c>
      <c r="N588" s="9" t="n">
        <f aca="false">N587+M588</f>
        <v>16999996.4600002</v>
      </c>
      <c r="O588" s="37" t="str">
        <f aca="false">IF(AND(N587&lt;0,N588&gt;=0,A588&lt;=MAX(120,Premissas!$B$15*12)),(A588-1)+(-N587)/M588,"")</f>
        <v/>
      </c>
      <c r="P588" s="9" t="n">
        <f aca="false">Resultados!$B$19*$B588-Resultados!$B$20*$B588-Premissas!$B$24-Resultados!$B$19*$B588*(Premissas!$B$14/100)</f>
        <v>24432.4</v>
      </c>
      <c r="Q588" s="9" t="n">
        <f aca="false">P588-$C588</f>
        <v>24432.4</v>
      </c>
      <c r="R588" s="9" t="n">
        <f aca="false">R587+Q588</f>
        <v>13861080.6800001</v>
      </c>
      <c r="S588" s="37" t="str">
        <f aca="false">IF(AND(R587&lt;0,R588&gt;=0,A588&lt;=MAX(120,Premissas!$B$15*12)),(A588-1)+(-R587)/Q588,"")</f>
        <v/>
      </c>
    </row>
    <row r="589" customFormat="false" ht="15" hidden="false" customHeight="false" outlineLevel="0" collapsed="false">
      <c r="A589" s="10" t="n">
        <f aca="false">A588+1</f>
        <v>585</v>
      </c>
      <c r="B589" s="36" t="n">
        <f aca="false">IF(Premissas!$B$9&lt;=1,1,MIN(1,Premissas!$B$8/100+(1-Premissas!$B$8/100)*(A589-1)/(Premissas!$B$9-1)))</f>
        <v>1</v>
      </c>
      <c r="C589" s="9" t="n">
        <f aca="false">IF(A589&lt;=Resultados!$B$9,Resultados!$B$10,0)</f>
        <v>0</v>
      </c>
      <c r="D589" s="9" t="n">
        <f aca="false">Resultados!$E$37*$B589-Resultados!$F$37*$B589-Premissas!$B$24-Resultados!$E$37*$B589*(Premissas!$B$14/100)</f>
        <v>19027</v>
      </c>
      <c r="E589" s="9" t="n">
        <f aca="false">D589-$C589</f>
        <v>19027</v>
      </c>
      <c r="F589" s="9" t="n">
        <f aca="false">F588+E589</f>
        <v>10741191.9</v>
      </c>
      <c r="G589" s="37" t="str">
        <f aca="false">IF(AND(F588&lt;0,F589&gt;=0,A589&lt;=MAX(120,Premissas!$B$15*12)),(A589-1)+(-F588)/E589,"")</f>
        <v/>
      </c>
      <c r="H589" s="9" t="n">
        <f aca="false">Resultados!$E$38*$B589-Resultados!$F$38*$B589-Premissas!$B$24-Resultados!$E$38*$B589*(Premissas!$B$14/100)</f>
        <v>24432.4</v>
      </c>
      <c r="I589" s="9" t="n">
        <f aca="false">H589-$C589</f>
        <v>24432.4</v>
      </c>
      <c r="J589" s="9" t="n">
        <f aca="false">J588+I589</f>
        <v>13885513.0800001</v>
      </c>
      <c r="K589" s="37" t="str">
        <f aca="false">IF(AND(J588&lt;0,J589&gt;=0,A589&lt;=MAX(120,Premissas!$B$15*12)),(A589-1)+(-J588)/I589,"")</f>
        <v/>
      </c>
      <c r="L589" s="9" t="n">
        <f aca="false">Resultados!$E$39*$B589-Resultados!$F$39*$B589-Premissas!$B$24-Resultados!$E$39*$B589*(Premissas!$B$14/100)</f>
        <v>29837.8</v>
      </c>
      <c r="M589" s="9" t="n">
        <f aca="false">L589-$C589</f>
        <v>29837.8</v>
      </c>
      <c r="N589" s="9" t="n">
        <f aca="false">N588+M589</f>
        <v>17029834.2600002</v>
      </c>
      <c r="O589" s="37" t="str">
        <f aca="false">IF(AND(N588&lt;0,N589&gt;=0,A589&lt;=MAX(120,Premissas!$B$15*12)),(A589-1)+(-N588)/M589,"")</f>
        <v/>
      </c>
      <c r="P589" s="9" t="n">
        <f aca="false">Resultados!$B$19*$B589-Resultados!$B$20*$B589-Premissas!$B$24-Resultados!$B$19*$B589*(Premissas!$B$14/100)</f>
        <v>24432.4</v>
      </c>
      <c r="Q589" s="9" t="n">
        <f aca="false">P589-$C589</f>
        <v>24432.4</v>
      </c>
      <c r="R589" s="9" t="n">
        <f aca="false">R588+Q589</f>
        <v>13885513.0800001</v>
      </c>
      <c r="S589" s="37" t="str">
        <f aca="false">IF(AND(R588&lt;0,R589&gt;=0,A589&lt;=MAX(120,Premissas!$B$15*12)),(A589-1)+(-R588)/Q589,"")</f>
        <v/>
      </c>
    </row>
    <row r="590" customFormat="false" ht="15" hidden="false" customHeight="false" outlineLevel="0" collapsed="false">
      <c r="A590" s="10" t="n">
        <f aca="false">A589+1</f>
        <v>586</v>
      </c>
      <c r="B590" s="36" t="n">
        <f aca="false">IF(Premissas!$B$9&lt;=1,1,MIN(1,Premissas!$B$8/100+(1-Premissas!$B$8/100)*(A590-1)/(Premissas!$B$9-1)))</f>
        <v>1</v>
      </c>
      <c r="C590" s="9" t="n">
        <f aca="false">IF(A590&lt;=Resultados!$B$9,Resultados!$B$10,0)</f>
        <v>0</v>
      </c>
      <c r="D590" s="9" t="n">
        <f aca="false">Resultados!$E$37*$B590-Resultados!$F$37*$B590-Premissas!$B$24-Resultados!$E$37*$B590*(Premissas!$B$14/100)</f>
        <v>19027</v>
      </c>
      <c r="E590" s="9" t="n">
        <f aca="false">D590-$C590</f>
        <v>19027</v>
      </c>
      <c r="F590" s="9" t="n">
        <f aca="false">F589+E590</f>
        <v>10760218.9</v>
      </c>
      <c r="G590" s="37" t="str">
        <f aca="false">IF(AND(F589&lt;0,F590&gt;=0,A590&lt;=MAX(120,Premissas!$B$15*12)),(A590-1)+(-F589)/E590,"")</f>
        <v/>
      </c>
      <c r="H590" s="9" t="n">
        <f aca="false">Resultados!$E$38*$B590-Resultados!$F$38*$B590-Premissas!$B$24-Resultados!$E$38*$B590*(Premissas!$B$14/100)</f>
        <v>24432.4</v>
      </c>
      <c r="I590" s="9" t="n">
        <f aca="false">H590-$C590</f>
        <v>24432.4</v>
      </c>
      <c r="J590" s="9" t="n">
        <f aca="false">J589+I590</f>
        <v>13909945.4800001</v>
      </c>
      <c r="K590" s="37" t="str">
        <f aca="false">IF(AND(J589&lt;0,J590&gt;=0,A590&lt;=MAX(120,Premissas!$B$15*12)),(A590-1)+(-J589)/I590,"")</f>
        <v/>
      </c>
      <c r="L590" s="9" t="n">
        <f aca="false">Resultados!$E$39*$B590-Resultados!$F$39*$B590-Premissas!$B$24-Resultados!$E$39*$B590*(Premissas!$B$14/100)</f>
        <v>29837.8</v>
      </c>
      <c r="M590" s="9" t="n">
        <f aca="false">L590-$C590</f>
        <v>29837.8</v>
      </c>
      <c r="N590" s="9" t="n">
        <f aca="false">N589+M590</f>
        <v>17059672.0600002</v>
      </c>
      <c r="O590" s="37" t="str">
        <f aca="false">IF(AND(N589&lt;0,N590&gt;=0,A590&lt;=MAX(120,Premissas!$B$15*12)),(A590-1)+(-N589)/M590,"")</f>
        <v/>
      </c>
      <c r="P590" s="9" t="n">
        <f aca="false">Resultados!$B$19*$B590-Resultados!$B$20*$B590-Premissas!$B$24-Resultados!$B$19*$B590*(Premissas!$B$14/100)</f>
        <v>24432.4</v>
      </c>
      <c r="Q590" s="9" t="n">
        <f aca="false">P590-$C590</f>
        <v>24432.4</v>
      </c>
      <c r="R590" s="9" t="n">
        <f aca="false">R589+Q590</f>
        <v>13909945.4800001</v>
      </c>
      <c r="S590" s="37" t="str">
        <f aca="false">IF(AND(R589&lt;0,R590&gt;=0,A590&lt;=MAX(120,Premissas!$B$15*12)),(A590-1)+(-R589)/Q590,"")</f>
        <v/>
      </c>
    </row>
    <row r="591" customFormat="false" ht="15" hidden="false" customHeight="false" outlineLevel="0" collapsed="false">
      <c r="A591" s="10" t="n">
        <f aca="false">A590+1</f>
        <v>587</v>
      </c>
      <c r="B591" s="36" t="n">
        <f aca="false">IF(Premissas!$B$9&lt;=1,1,MIN(1,Premissas!$B$8/100+(1-Premissas!$B$8/100)*(A591-1)/(Premissas!$B$9-1)))</f>
        <v>1</v>
      </c>
      <c r="C591" s="9" t="n">
        <f aca="false">IF(A591&lt;=Resultados!$B$9,Resultados!$B$10,0)</f>
        <v>0</v>
      </c>
      <c r="D591" s="9" t="n">
        <f aca="false">Resultados!$E$37*$B591-Resultados!$F$37*$B591-Premissas!$B$24-Resultados!$E$37*$B591*(Premissas!$B$14/100)</f>
        <v>19027</v>
      </c>
      <c r="E591" s="9" t="n">
        <f aca="false">D591-$C591</f>
        <v>19027</v>
      </c>
      <c r="F591" s="9" t="n">
        <f aca="false">F590+E591</f>
        <v>10779245.9</v>
      </c>
      <c r="G591" s="37" t="str">
        <f aca="false">IF(AND(F590&lt;0,F591&gt;=0,A591&lt;=MAX(120,Premissas!$B$15*12)),(A591-1)+(-F590)/E591,"")</f>
        <v/>
      </c>
      <c r="H591" s="9" t="n">
        <f aca="false">Resultados!$E$38*$B591-Resultados!$F$38*$B591-Premissas!$B$24-Resultados!$E$38*$B591*(Premissas!$B$14/100)</f>
        <v>24432.4</v>
      </c>
      <c r="I591" s="9" t="n">
        <f aca="false">H591-$C591</f>
        <v>24432.4</v>
      </c>
      <c r="J591" s="9" t="n">
        <f aca="false">J590+I591</f>
        <v>13934377.8800001</v>
      </c>
      <c r="K591" s="37" t="str">
        <f aca="false">IF(AND(J590&lt;0,J591&gt;=0,A591&lt;=MAX(120,Premissas!$B$15*12)),(A591-1)+(-J590)/I591,"")</f>
        <v/>
      </c>
      <c r="L591" s="9" t="n">
        <f aca="false">Resultados!$E$39*$B591-Resultados!$F$39*$B591-Premissas!$B$24-Resultados!$E$39*$B591*(Premissas!$B$14/100)</f>
        <v>29837.8</v>
      </c>
      <c r="M591" s="9" t="n">
        <f aca="false">L591-$C591</f>
        <v>29837.8</v>
      </c>
      <c r="N591" s="9" t="n">
        <f aca="false">N590+M591</f>
        <v>17089509.8600002</v>
      </c>
      <c r="O591" s="37" t="str">
        <f aca="false">IF(AND(N590&lt;0,N591&gt;=0,A591&lt;=MAX(120,Premissas!$B$15*12)),(A591-1)+(-N590)/M591,"")</f>
        <v/>
      </c>
      <c r="P591" s="9" t="n">
        <f aca="false">Resultados!$B$19*$B591-Resultados!$B$20*$B591-Premissas!$B$24-Resultados!$B$19*$B591*(Premissas!$B$14/100)</f>
        <v>24432.4</v>
      </c>
      <c r="Q591" s="9" t="n">
        <f aca="false">P591-$C591</f>
        <v>24432.4</v>
      </c>
      <c r="R591" s="9" t="n">
        <f aca="false">R590+Q591</f>
        <v>13934377.8800001</v>
      </c>
      <c r="S591" s="37" t="str">
        <f aca="false">IF(AND(R590&lt;0,R591&gt;=0,A591&lt;=MAX(120,Premissas!$B$15*12)),(A591-1)+(-R590)/Q591,"")</f>
        <v/>
      </c>
    </row>
    <row r="592" customFormat="false" ht="15" hidden="false" customHeight="false" outlineLevel="0" collapsed="false">
      <c r="A592" s="10" t="n">
        <f aca="false">A591+1</f>
        <v>588</v>
      </c>
      <c r="B592" s="36" t="n">
        <f aca="false">IF(Premissas!$B$9&lt;=1,1,MIN(1,Premissas!$B$8/100+(1-Premissas!$B$8/100)*(A592-1)/(Premissas!$B$9-1)))</f>
        <v>1</v>
      </c>
      <c r="C592" s="9" t="n">
        <f aca="false">IF(A592&lt;=Resultados!$B$9,Resultados!$B$10,0)</f>
        <v>0</v>
      </c>
      <c r="D592" s="9" t="n">
        <f aca="false">Resultados!$E$37*$B592-Resultados!$F$37*$B592-Premissas!$B$24-Resultados!$E$37*$B592*(Premissas!$B$14/100)</f>
        <v>19027</v>
      </c>
      <c r="E592" s="9" t="n">
        <f aca="false">D592-$C592</f>
        <v>19027</v>
      </c>
      <c r="F592" s="9" t="n">
        <f aca="false">F591+E592</f>
        <v>10798272.9</v>
      </c>
      <c r="G592" s="37" t="str">
        <f aca="false">IF(AND(F591&lt;0,F592&gt;=0,A592&lt;=MAX(120,Premissas!$B$15*12)),(A592-1)+(-F591)/E592,"")</f>
        <v/>
      </c>
      <c r="H592" s="9" t="n">
        <f aca="false">Resultados!$E$38*$B592-Resultados!$F$38*$B592-Premissas!$B$24-Resultados!$E$38*$B592*(Premissas!$B$14/100)</f>
        <v>24432.4</v>
      </c>
      <c r="I592" s="9" t="n">
        <f aca="false">H592-$C592</f>
        <v>24432.4</v>
      </c>
      <c r="J592" s="9" t="n">
        <f aca="false">J591+I592</f>
        <v>13958810.2800001</v>
      </c>
      <c r="K592" s="37" t="str">
        <f aca="false">IF(AND(J591&lt;0,J592&gt;=0,A592&lt;=MAX(120,Premissas!$B$15*12)),(A592-1)+(-J591)/I592,"")</f>
        <v/>
      </c>
      <c r="L592" s="9" t="n">
        <f aca="false">Resultados!$E$39*$B592-Resultados!$F$39*$B592-Premissas!$B$24-Resultados!$E$39*$B592*(Premissas!$B$14/100)</f>
        <v>29837.8</v>
      </c>
      <c r="M592" s="9" t="n">
        <f aca="false">L592-$C592</f>
        <v>29837.8</v>
      </c>
      <c r="N592" s="9" t="n">
        <f aca="false">N591+M592</f>
        <v>17119347.6600002</v>
      </c>
      <c r="O592" s="37" t="str">
        <f aca="false">IF(AND(N591&lt;0,N592&gt;=0,A592&lt;=MAX(120,Premissas!$B$15*12)),(A592-1)+(-N591)/M592,"")</f>
        <v/>
      </c>
      <c r="P592" s="9" t="n">
        <f aca="false">Resultados!$B$19*$B592-Resultados!$B$20*$B592-Premissas!$B$24-Resultados!$B$19*$B592*(Premissas!$B$14/100)</f>
        <v>24432.4</v>
      </c>
      <c r="Q592" s="9" t="n">
        <f aca="false">P592-$C592</f>
        <v>24432.4</v>
      </c>
      <c r="R592" s="9" t="n">
        <f aca="false">R591+Q592</f>
        <v>13958810.2800001</v>
      </c>
      <c r="S592" s="37" t="str">
        <f aca="false">IF(AND(R591&lt;0,R592&gt;=0,A592&lt;=MAX(120,Premissas!$B$15*12)),(A592-1)+(-R591)/Q592,"")</f>
        <v/>
      </c>
    </row>
    <row r="593" customFormat="false" ht="15" hidden="false" customHeight="false" outlineLevel="0" collapsed="false">
      <c r="A593" s="10" t="n">
        <f aca="false">A592+1</f>
        <v>589</v>
      </c>
      <c r="B593" s="36" t="n">
        <f aca="false">IF(Premissas!$B$9&lt;=1,1,MIN(1,Premissas!$B$8/100+(1-Premissas!$B$8/100)*(A593-1)/(Premissas!$B$9-1)))</f>
        <v>1</v>
      </c>
      <c r="C593" s="9" t="n">
        <f aca="false">IF(A593&lt;=Resultados!$B$9,Resultados!$B$10,0)</f>
        <v>0</v>
      </c>
      <c r="D593" s="9" t="n">
        <f aca="false">Resultados!$E$37*$B593-Resultados!$F$37*$B593-Premissas!$B$24-Resultados!$E$37*$B593*(Premissas!$B$14/100)</f>
        <v>19027</v>
      </c>
      <c r="E593" s="9" t="n">
        <f aca="false">D593-$C593</f>
        <v>19027</v>
      </c>
      <c r="F593" s="9" t="n">
        <f aca="false">F592+E593</f>
        <v>10817299.9</v>
      </c>
      <c r="G593" s="37" t="str">
        <f aca="false">IF(AND(F592&lt;0,F593&gt;=0,A593&lt;=MAX(120,Premissas!$B$15*12)),(A593-1)+(-F592)/E593,"")</f>
        <v/>
      </c>
      <c r="H593" s="9" t="n">
        <f aca="false">Resultados!$E$38*$B593-Resultados!$F$38*$B593-Premissas!$B$24-Resultados!$E$38*$B593*(Premissas!$B$14/100)</f>
        <v>24432.4</v>
      </c>
      <c r="I593" s="9" t="n">
        <f aca="false">H593-$C593</f>
        <v>24432.4</v>
      </c>
      <c r="J593" s="9" t="n">
        <f aca="false">J592+I593</f>
        <v>13983242.6800001</v>
      </c>
      <c r="K593" s="37" t="str">
        <f aca="false">IF(AND(J592&lt;0,J593&gt;=0,A593&lt;=MAX(120,Premissas!$B$15*12)),(A593-1)+(-J592)/I593,"")</f>
        <v/>
      </c>
      <c r="L593" s="9" t="n">
        <f aca="false">Resultados!$E$39*$B593-Resultados!$F$39*$B593-Premissas!$B$24-Resultados!$E$39*$B593*(Premissas!$B$14/100)</f>
        <v>29837.8</v>
      </c>
      <c r="M593" s="9" t="n">
        <f aca="false">L593-$C593</f>
        <v>29837.8</v>
      </c>
      <c r="N593" s="9" t="n">
        <f aca="false">N592+M593</f>
        <v>17149185.4600002</v>
      </c>
      <c r="O593" s="37" t="str">
        <f aca="false">IF(AND(N592&lt;0,N593&gt;=0,A593&lt;=MAX(120,Premissas!$B$15*12)),(A593-1)+(-N592)/M593,"")</f>
        <v/>
      </c>
      <c r="P593" s="9" t="n">
        <f aca="false">Resultados!$B$19*$B593-Resultados!$B$20*$B593-Premissas!$B$24-Resultados!$B$19*$B593*(Premissas!$B$14/100)</f>
        <v>24432.4</v>
      </c>
      <c r="Q593" s="9" t="n">
        <f aca="false">P593-$C593</f>
        <v>24432.4</v>
      </c>
      <c r="R593" s="9" t="n">
        <f aca="false">R592+Q593</f>
        <v>13983242.6800001</v>
      </c>
      <c r="S593" s="37" t="str">
        <f aca="false">IF(AND(R592&lt;0,R593&gt;=0,A593&lt;=MAX(120,Premissas!$B$15*12)),(A593-1)+(-R592)/Q593,"")</f>
        <v/>
      </c>
    </row>
    <row r="594" customFormat="false" ht="15" hidden="false" customHeight="false" outlineLevel="0" collapsed="false">
      <c r="A594" s="10" t="n">
        <f aca="false">A593+1</f>
        <v>590</v>
      </c>
      <c r="B594" s="36" t="n">
        <f aca="false">IF(Premissas!$B$9&lt;=1,1,MIN(1,Premissas!$B$8/100+(1-Premissas!$B$8/100)*(A594-1)/(Premissas!$B$9-1)))</f>
        <v>1</v>
      </c>
      <c r="C594" s="9" t="n">
        <f aca="false">IF(A594&lt;=Resultados!$B$9,Resultados!$B$10,0)</f>
        <v>0</v>
      </c>
      <c r="D594" s="9" t="n">
        <f aca="false">Resultados!$E$37*$B594-Resultados!$F$37*$B594-Premissas!$B$24-Resultados!$E$37*$B594*(Premissas!$B$14/100)</f>
        <v>19027</v>
      </c>
      <c r="E594" s="9" t="n">
        <f aca="false">D594-$C594</f>
        <v>19027</v>
      </c>
      <c r="F594" s="9" t="n">
        <f aca="false">F593+E594</f>
        <v>10836326.9</v>
      </c>
      <c r="G594" s="37" t="str">
        <f aca="false">IF(AND(F593&lt;0,F594&gt;=0,A594&lt;=MAX(120,Premissas!$B$15*12)),(A594-1)+(-F593)/E594,"")</f>
        <v/>
      </c>
      <c r="H594" s="9" t="n">
        <f aca="false">Resultados!$E$38*$B594-Resultados!$F$38*$B594-Premissas!$B$24-Resultados!$E$38*$B594*(Premissas!$B$14/100)</f>
        <v>24432.4</v>
      </c>
      <c r="I594" s="9" t="n">
        <f aca="false">H594-$C594</f>
        <v>24432.4</v>
      </c>
      <c r="J594" s="9" t="n">
        <f aca="false">J593+I594</f>
        <v>14007675.0800001</v>
      </c>
      <c r="K594" s="37" t="str">
        <f aca="false">IF(AND(J593&lt;0,J594&gt;=0,A594&lt;=MAX(120,Premissas!$B$15*12)),(A594-1)+(-J593)/I594,"")</f>
        <v/>
      </c>
      <c r="L594" s="9" t="n">
        <f aca="false">Resultados!$E$39*$B594-Resultados!$F$39*$B594-Premissas!$B$24-Resultados!$E$39*$B594*(Premissas!$B$14/100)</f>
        <v>29837.8</v>
      </c>
      <c r="M594" s="9" t="n">
        <f aca="false">L594-$C594</f>
        <v>29837.8</v>
      </c>
      <c r="N594" s="9" t="n">
        <f aca="false">N593+M594</f>
        <v>17179023.2600002</v>
      </c>
      <c r="O594" s="37" t="str">
        <f aca="false">IF(AND(N593&lt;0,N594&gt;=0,A594&lt;=MAX(120,Premissas!$B$15*12)),(A594-1)+(-N593)/M594,"")</f>
        <v/>
      </c>
      <c r="P594" s="9" t="n">
        <f aca="false">Resultados!$B$19*$B594-Resultados!$B$20*$B594-Premissas!$B$24-Resultados!$B$19*$B594*(Premissas!$B$14/100)</f>
        <v>24432.4</v>
      </c>
      <c r="Q594" s="9" t="n">
        <f aca="false">P594-$C594</f>
        <v>24432.4</v>
      </c>
      <c r="R594" s="9" t="n">
        <f aca="false">R593+Q594</f>
        <v>14007675.0800001</v>
      </c>
      <c r="S594" s="37" t="str">
        <f aca="false">IF(AND(R593&lt;0,R594&gt;=0,A594&lt;=MAX(120,Premissas!$B$15*12)),(A594-1)+(-R593)/Q594,"")</f>
        <v/>
      </c>
    </row>
    <row r="595" customFormat="false" ht="15" hidden="false" customHeight="false" outlineLevel="0" collapsed="false">
      <c r="A595" s="10" t="n">
        <f aca="false">A594+1</f>
        <v>591</v>
      </c>
      <c r="B595" s="36" t="n">
        <f aca="false">IF(Premissas!$B$9&lt;=1,1,MIN(1,Premissas!$B$8/100+(1-Premissas!$B$8/100)*(A595-1)/(Premissas!$B$9-1)))</f>
        <v>1</v>
      </c>
      <c r="C595" s="9" t="n">
        <f aca="false">IF(A595&lt;=Resultados!$B$9,Resultados!$B$10,0)</f>
        <v>0</v>
      </c>
      <c r="D595" s="9" t="n">
        <f aca="false">Resultados!$E$37*$B595-Resultados!$F$37*$B595-Premissas!$B$24-Resultados!$E$37*$B595*(Premissas!$B$14/100)</f>
        <v>19027</v>
      </c>
      <c r="E595" s="9" t="n">
        <f aca="false">D595-$C595</f>
        <v>19027</v>
      </c>
      <c r="F595" s="9" t="n">
        <f aca="false">F594+E595</f>
        <v>10855353.9</v>
      </c>
      <c r="G595" s="37" t="str">
        <f aca="false">IF(AND(F594&lt;0,F595&gt;=0,A595&lt;=MAX(120,Premissas!$B$15*12)),(A595-1)+(-F594)/E595,"")</f>
        <v/>
      </c>
      <c r="H595" s="9" t="n">
        <f aca="false">Resultados!$E$38*$B595-Resultados!$F$38*$B595-Premissas!$B$24-Resultados!$E$38*$B595*(Premissas!$B$14/100)</f>
        <v>24432.4</v>
      </c>
      <c r="I595" s="9" t="n">
        <f aca="false">H595-$C595</f>
        <v>24432.4</v>
      </c>
      <c r="J595" s="9" t="n">
        <f aca="false">J594+I595</f>
        <v>14032107.4800001</v>
      </c>
      <c r="K595" s="37" t="str">
        <f aca="false">IF(AND(J594&lt;0,J595&gt;=0,A595&lt;=MAX(120,Premissas!$B$15*12)),(A595-1)+(-J594)/I595,"")</f>
        <v/>
      </c>
      <c r="L595" s="9" t="n">
        <f aca="false">Resultados!$E$39*$B595-Resultados!$F$39*$B595-Premissas!$B$24-Resultados!$E$39*$B595*(Premissas!$B$14/100)</f>
        <v>29837.8</v>
      </c>
      <c r="M595" s="9" t="n">
        <f aca="false">L595-$C595</f>
        <v>29837.8</v>
      </c>
      <c r="N595" s="9" t="n">
        <f aca="false">N594+M595</f>
        <v>17208861.0600002</v>
      </c>
      <c r="O595" s="37" t="str">
        <f aca="false">IF(AND(N594&lt;0,N595&gt;=0,A595&lt;=MAX(120,Premissas!$B$15*12)),(A595-1)+(-N594)/M595,"")</f>
        <v/>
      </c>
      <c r="P595" s="9" t="n">
        <f aca="false">Resultados!$B$19*$B595-Resultados!$B$20*$B595-Premissas!$B$24-Resultados!$B$19*$B595*(Premissas!$B$14/100)</f>
        <v>24432.4</v>
      </c>
      <c r="Q595" s="9" t="n">
        <f aca="false">P595-$C595</f>
        <v>24432.4</v>
      </c>
      <c r="R595" s="9" t="n">
        <f aca="false">R594+Q595</f>
        <v>14032107.4800001</v>
      </c>
      <c r="S595" s="37" t="str">
        <f aca="false">IF(AND(R594&lt;0,R595&gt;=0,A595&lt;=MAX(120,Premissas!$B$15*12)),(A595-1)+(-R594)/Q595,"")</f>
        <v/>
      </c>
    </row>
    <row r="596" customFormat="false" ht="15" hidden="false" customHeight="false" outlineLevel="0" collapsed="false">
      <c r="A596" s="10" t="n">
        <f aca="false">A595+1</f>
        <v>592</v>
      </c>
      <c r="B596" s="36" t="n">
        <f aca="false">IF(Premissas!$B$9&lt;=1,1,MIN(1,Premissas!$B$8/100+(1-Premissas!$B$8/100)*(A596-1)/(Premissas!$B$9-1)))</f>
        <v>1</v>
      </c>
      <c r="C596" s="9" t="n">
        <f aca="false">IF(A596&lt;=Resultados!$B$9,Resultados!$B$10,0)</f>
        <v>0</v>
      </c>
      <c r="D596" s="9" t="n">
        <f aca="false">Resultados!$E$37*$B596-Resultados!$F$37*$B596-Premissas!$B$24-Resultados!$E$37*$B596*(Premissas!$B$14/100)</f>
        <v>19027</v>
      </c>
      <c r="E596" s="9" t="n">
        <f aca="false">D596-$C596</f>
        <v>19027</v>
      </c>
      <c r="F596" s="9" t="n">
        <f aca="false">F595+E596</f>
        <v>10874380.9</v>
      </c>
      <c r="G596" s="37" t="str">
        <f aca="false">IF(AND(F595&lt;0,F596&gt;=0,A596&lt;=MAX(120,Premissas!$B$15*12)),(A596-1)+(-F595)/E596,"")</f>
        <v/>
      </c>
      <c r="H596" s="9" t="n">
        <f aca="false">Resultados!$E$38*$B596-Resultados!$F$38*$B596-Premissas!$B$24-Resultados!$E$38*$B596*(Premissas!$B$14/100)</f>
        <v>24432.4</v>
      </c>
      <c r="I596" s="9" t="n">
        <f aca="false">H596-$C596</f>
        <v>24432.4</v>
      </c>
      <c r="J596" s="9" t="n">
        <f aca="false">J595+I596</f>
        <v>14056539.8800001</v>
      </c>
      <c r="K596" s="37" t="str">
        <f aca="false">IF(AND(J595&lt;0,J596&gt;=0,A596&lt;=MAX(120,Premissas!$B$15*12)),(A596-1)+(-J595)/I596,"")</f>
        <v/>
      </c>
      <c r="L596" s="9" t="n">
        <f aca="false">Resultados!$E$39*$B596-Resultados!$F$39*$B596-Premissas!$B$24-Resultados!$E$39*$B596*(Premissas!$B$14/100)</f>
        <v>29837.8</v>
      </c>
      <c r="M596" s="9" t="n">
        <f aca="false">L596-$C596</f>
        <v>29837.8</v>
      </c>
      <c r="N596" s="9" t="n">
        <f aca="false">N595+M596</f>
        <v>17238698.8600002</v>
      </c>
      <c r="O596" s="37" t="str">
        <f aca="false">IF(AND(N595&lt;0,N596&gt;=0,A596&lt;=MAX(120,Premissas!$B$15*12)),(A596-1)+(-N595)/M596,"")</f>
        <v/>
      </c>
      <c r="P596" s="9" t="n">
        <f aca="false">Resultados!$B$19*$B596-Resultados!$B$20*$B596-Premissas!$B$24-Resultados!$B$19*$B596*(Premissas!$B$14/100)</f>
        <v>24432.4</v>
      </c>
      <c r="Q596" s="9" t="n">
        <f aca="false">P596-$C596</f>
        <v>24432.4</v>
      </c>
      <c r="R596" s="9" t="n">
        <f aca="false">R595+Q596</f>
        <v>14056539.8800001</v>
      </c>
      <c r="S596" s="37" t="str">
        <f aca="false">IF(AND(R595&lt;0,R596&gt;=0,A596&lt;=MAX(120,Premissas!$B$15*12)),(A596-1)+(-R595)/Q596,"")</f>
        <v/>
      </c>
    </row>
    <row r="597" customFormat="false" ht="15" hidden="false" customHeight="false" outlineLevel="0" collapsed="false">
      <c r="A597" s="10" t="n">
        <f aca="false">A596+1</f>
        <v>593</v>
      </c>
      <c r="B597" s="36" t="n">
        <f aca="false">IF(Premissas!$B$9&lt;=1,1,MIN(1,Premissas!$B$8/100+(1-Premissas!$B$8/100)*(A597-1)/(Premissas!$B$9-1)))</f>
        <v>1</v>
      </c>
      <c r="C597" s="9" t="n">
        <f aca="false">IF(A597&lt;=Resultados!$B$9,Resultados!$B$10,0)</f>
        <v>0</v>
      </c>
      <c r="D597" s="9" t="n">
        <f aca="false">Resultados!$E$37*$B597-Resultados!$F$37*$B597-Premissas!$B$24-Resultados!$E$37*$B597*(Premissas!$B$14/100)</f>
        <v>19027</v>
      </c>
      <c r="E597" s="9" t="n">
        <f aca="false">D597-$C597</f>
        <v>19027</v>
      </c>
      <c r="F597" s="9" t="n">
        <f aca="false">F596+E597</f>
        <v>10893407.9</v>
      </c>
      <c r="G597" s="37" t="str">
        <f aca="false">IF(AND(F596&lt;0,F597&gt;=0,A597&lt;=MAX(120,Premissas!$B$15*12)),(A597-1)+(-F596)/E597,"")</f>
        <v/>
      </c>
      <c r="H597" s="9" t="n">
        <f aca="false">Resultados!$E$38*$B597-Resultados!$F$38*$B597-Premissas!$B$24-Resultados!$E$38*$B597*(Premissas!$B$14/100)</f>
        <v>24432.4</v>
      </c>
      <c r="I597" s="9" t="n">
        <f aca="false">H597-$C597</f>
        <v>24432.4</v>
      </c>
      <c r="J597" s="9" t="n">
        <f aca="false">J596+I597</f>
        <v>14080972.2800001</v>
      </c>
      <c r="K597" s="37" t="str">
        <f aca="false">IF(AND(J596&lt;0,J597&gt;=0,A597&lt;=MAX(120,Premissas!$B$15*12)),(A597-1)+(-J596)/I597,"")</f>
        <v/>
      </c>
      <c r="L597" s="9" t="n">
        <f aca="false">Resultados!$E$39*$B597-Resultados!$F$39*$B597-Premissas!$B$24-Resultados!$E$39*$B597*(Premissas!$B$14/100)</f>
        <v>29837.8</v>
      </c>
      <c r="M597" s="9" t="n">
        <f aca="false">L597-$C597</f>
        <v>29837.8</v>
      </c>
      <c r="N597" s="9" t="n">
        <f aca="false">N596+M597</f>
        <v>17268536.6600002</v>
      </c>
      <c r="O597" s="37" t="str">
        <f aca="false">IF(AND(N596&lt;0,N597&gt;=0,A597&lt;=MAX(120,Premissas!$B$15*12)),(A597-1)+(-N596)/M597,"")</f>
        <v/>
      </c>
      <c r="P597" s="9" t="n">
        <f aca="false">Resultados!$B$19*$B597-Resultados!$B$20*$B597-Premissas!$B$24-Resultados!$B$19*$B597*(Premissas!$B$14/100)</f>
        <v>24432.4</v>
      </c>
      <c r="Q597" s="9" t="n">
        <f aca="false">P597-$C597</f>
        <v>24432.4</v>
      </c>
      <c r="R597" s="9" t="n">
        <f aca="false">R596+Q597</f>
        <v>14080972.2800001</v>
      </c>
      <c r="S597" s="37" t="str">
        <f aca="false">IF(AND(R596&lt;0,R597&gt;=0,A597&lt;=MAX(120,Premissas!$B$15*12)),(A597-1)+(-R596)/Q597,"")</f>
        <v/>
      </c>
    </row>
    <row r="598" customFormat="false" ht="15" hidden="false" customHeight="false" outlineLevel="0" collapsed="false">
      <c r="A598" s="10" t="n">
        <f aca="false">A597+1</f>
        <v>594</v>
      </c>
      <c r="B598" s="36" t="n">
        <f aca="false">IF(Premissas!$B$9&lt;=1,1,MIN(1,Premissas!$B$8/100+(1-Premissas!$B$8/100)*(A598-1)/(Premissas!$B$9-1)))</f>
        <v>1</v>
      </c>
      <c r="C598" s="9" t="n">
        <f aca="false">IF(A598&lt;=Resultados!$B$9,Resultados!$B$10,0)</f>
        <v>0</v>
      </c>
      <c r="D598" s="9" t="n">
        <f aca="false">Resultados!$E$37*$B598-Resultados!$F$37*$B598-Premissas!$B$24-Resultados!$E$37*$B598*(Premissas!$B$14/100)</f>
        <v>19027</v>
      </c>
      <c r="E598" s="9" t="n">
        <f aca="false">D598-$C598</f>
        <v>19027</v>
      </c>
      <c r="F598" s="9" t="n">
        <f aca="false">F597+E598</f>
        <v>10912434.9</v>
      </c>
      <c r="G598" s="37" t="str">
        <f aca="false">IF(AND(F597&lt;0,F598&gt;=0,A598&lt;=MAX(120,Premissas!$B$15*12)),(A598-1)+(-F597)/E598,"")</f>
        <v/>
      </c>
      <c r="H598" s="9" t="n">
        <f aca="false">Resultados!$E$38*$B598-Resultados!$F$38*$B598-Premissas!$B$24-Resultados!$E$38*$B598*(Premissas!$B$14/100)</f>
        <v>24432.4</v>
      </c>
      <c r="I598" s="9" t="n">
        <f aca="false">H598-$C598</f>
        <v>24432.4</v>
      </c>
      <c r="J598" s="9" t="n">
        <f aca="false">J597+I598</f>
        <v>14105404.6800001</v>
      </c>
      <c r="K598" s="37" t="str">
        <f aca="false">IF(AND(J597&lt;0,J598&gt;=0,A598&lt;=MAX(120,Premissas!$B$15*12)),(A598-1)+(-J597)/I598,"")</f>
        <v/>
      </c>
      <c r="L598" s="9" t="n">
        <f aca="false">Resultados!$E$39*$B598-Resultados!$F$39*$B598-Premissas!$B$24-Resultados!$E$39*$B598*(Premissas!$B$14/100)</f>
        <v>29837.8</v>
      </c>
      <c r="M598" s="9" t="n">
        <f aca="false">L598-$C598</f>
        <v>29837.8</v>
      </c>
      <c r="N598" s="9" t="n">
        <f aca="false">N597+M598</f>
        <v>17298374.4600002</v>
      </c>
      <c r="O598" s="37" t="str">
        <f aca="false">IF(AND(N597&lt;0,N598&gt;=0,A598&lt;=MAX(120,Premissas!$B$15*12)),(A598-1)+(-N597)/M598,"")</f>
        <v/>
      </c>
      <c r="P598" s="9" t="n">
        <f aca="false">Resultados!$B$19*$B598-Resultados!$B$20*$B598-Premissas!$B$24-Resultados!$B$19*$B598*(Premissas!$B$14/100)</f>
        <v>24432.4</v>
      </c>
      <c r="Q598" s="9" t="n">
        <f aca="false">P598-$C598</f>
        <v>24432.4</v>
      </c>
      <c r="R598" s="9" t="n">
        <f aca="false">R597+Q598</f>
        <v>14105404.6800001</v>
      </c>
      <c r="S598" s="37" t="str">
        <f aca="false">IF(AND(R597&lt;0,R598&gt;=0,A598&lt;=MAX(120,Premissas!$B$15*12)),(A598-1)+(-R597)/Q598,"")</f>
        <v/>
      </c>
    </row>
    <row r="599" customFormat="false" ht="15" hidden="false" customHeight="false" outlineLevel="0" collapsed="false">
      <c r="A599" s="10" t="n">
        <f aca="false">A598+1</f>
        <v>595</v>
      </c>
      <c r="B599" s="36" t="n">
        <f aca="false">IF(Premissas!$B$9&lt;=1,1,MIN(1,Premissas!$B$8/100+(1-Premissas!$B$8/100)*(A599-1)/(Premissas!$B$9-1)))</f>
        <v>1</v>
      </c>
      <c r="C599" s="9" t="n">
        <f aca="false">IF(A599&lt;=Resultados!$B$9,Resultados!$B$10,0)</f>
        <v>0</v>
      </c>
      <c r="D599" s="9" t="n">
        <f aca="false">Resultados!$E$37*$B599-Resultados!$F$37*$B599-Premissas!$B$24-Resultados!$E$37*$B599*(Premissas!$B$14/100)</f>
        <v>19027</v>
      </c>
      <c r="E599" s="9" t="n">
        <f aca="false">D599-$C599</f>
        <v>19027</v>
      </c>
      <c r="F599" s="9" t="n">
        <f aca="false">F598+E599</f>
        <v>10931461.9</v>
      </c>
      <c r="G599" s="37" t="str">
        <f aca="false">IF(AND(F598&lt;0,F599&gt;=0,A599&lt;=MAX(120,Premissas!$B$15*12)),(A599-1)+(-F598)/E599,"")</f>
        <v/>
      </c>
      <c r="H599" s="9" t="n">
        <f aca="false">Resultados!$E$38*$B599-Resultados!$F$38*$B599-Premissas!$B$24-Resultados!$E$38*$B599*(Premissas!$B$14/100)</f>
        <v>24432.4</v>
      </c>
      <c r="I599" s="9" t="n">
        <f aca="false">H599-$C599</f>
        <v>24432.4</v>
      </c>
      <c r="J599" s="9" t="n">
        <f aca="false">J598+I599</f>
        <v>14129837.0800001</v>
      </c>
      <c r="K599" s="37" t="str">
        <f aca="false">IF(AND(J598&lt;0,J599&gt;=0,A599&lt;=MAX(120,Premissas!$B$15*12)),(A599-1)+(-J598)/I599,"")</f>
        <v/>
      </c>
      <c r="L599" s="9" t="n">
        <f aca="false">Resultados!$E$39*$B599-Resultados!$F$39*$B599-Premissas!$B$24-Resultados!$E$39*$B599*(Premissas!$B$14/100)</f>
        <v>29837.8</v>
      </c>
      <c r="M599" s="9" t="n">
        <f aca="false">L599-$C599</f>
        <v>29837.8</v>
      </c>
      <c r="N599" s="9" t="n">
        <f aca="false">N598+M599</f>
        <v>17328212.2600002</v>
      </c>
      <c r="O599" s="37" t="str">
        <f aca="false">IF(AND(N598&lt;0,N599&gt;=0,A599&lt;=MAX(120,Premissas!$B$15*12)),(A599-1)+(-N598)/M599,"")</f>
        <v/>
      </c>
      <c r="P599" s="9" t="n">
        <f aca="false">Resultados!$B$19*$B599-Resultados!$B$20*$B599-Premissas!$B$24-Resultados!$B$19*$B599*(Premissas!$B$14/100)</f>
        <v>24432.4</v>
      </c>
      <c r="Q599" s="9" t="n">
        <f aca="false">P599-$C599</f>
        <v>24432.4</v>
      </c>
      <c r="R599" s="9" t="n">
        <f aca="false">R598+Q599</f>
        <v>14129837.0800001</v>
      </c>
      <c r="S599" s="37" t="str">
        <f aca="false">IF(AND(R598&lt;0,R599&gt;=0,A599&lt;=MAX(120,Premissas!$B$15*12)),(A599-1)+(-R598)/Q599,"")</f>
        <v/>
      </c>
    </row>
    <row r="600" customFormat="false" ht="15" hidden="false" customHeight="false" outlineLevel="0" collapsed="false">
      <c r="A600" s="10" t="n">
        <f aca="false">A599+1</f>
        <v>596</v>
      </c>
      <c r="B600" s="36" t="n">
        <f aca="false">IF(Premissas!$B$9&lt;=1,1,MIN(1,Premissas!$B$8/100+(1-Premissas!$B$8/100)*(A600-1)/(Premissas!$B$9-1)))</f>
        <v>1</v>
      </c>
      <c r="C600" s="9" t="n">
        <f aca="false">IF(A600&lt;=Resultados!$B$9,Resultados!$B$10,0)</f>
        <v>0</v>
      </c>
      <c r="D600" s="9" t="n">
        <f aca="false">Resultados!$E$37*$B600-Resultados!$F$37*$B600-Premissas!$B$24-Resultados!$E$37*$B600*(Premissas!$B$14/100)</f>
        <v>19027</v>
      </c>
      <c r="E600" s="9" t="n">
        <f aca="false">D600-$C600</f>
        <v>19027</v>
      </c>
      <c r="F600" s="9" t="n">
        <f aca="false">F599+E600</f>
        <v>10950488.9</v>
      </c>
      <c r="G600" s="37" t="str">
        <f aca="false">IF(AND(F599&lt;0,F600&gt;=0,A600&lt;=MAX(120,Premissas!$B$15*12)),(A600-1)+(-F599)/E600,"")</f>
        <v/>
      </c>
      <c r="H600" s="9" t="n">
        <f aca="false">Resultados!$E$38*$B600-Resultados!$F$38*$B600-Premissas!$B$24-Resultados!$E$38*$B600*(Premissas!$B$14/100)</f>
        <v>24432.4</v>
      </c>
      <c r="I600" s="9" t="n">
        <f aca="false">H600-$C600</f>
        <v>24432.4</v>
      </c>
      <c r="J600" s="9" t="n">
        <f aca="false">J599+I600</f>
        <v>14154269.4800001</v>
      </c>
      <c r="K600" s="37" t="str">
        <f aca="false">IF(AND(J599&lt;0,J600&gt;=0,A600&lt;=MAX(120,Premissas!$B$15*12)),(A600-1)+(-J599)/I600,"")</f>
        <v/>
      </c>
      <c r="L600" s="9" t="n">
        <f aca="false">Resultados!$E$39*$B600-Resultados!$F$39*$B600-Premissas!$B$24-Resultados!$E$39*$B600*(Premissas!$B$14/100)</f>
        <v>29837.8</v>
      </c>
      <c r="M600" s="9" t="n">
        <f aca="false">L600-$C600</f>
        <v>29837.8</v>
      </c>
      <c r="N600" s="9" t="n">
        <f aca="false">N599+M600</f>
        <v>17358050.0600002</v>
      </c>
      <c r="O600" s="37" t="str">
        <f aca="false">IF(AND(N599&lt;0,N600&gt;=0,A600&lt;=MAX(120,Premissas!$B$15*12)),(A600-1)+(-N599)/M600,"")</f>
        <v/>
      </c>
      <c r="P600" s="9" t="n">
        <f aca="false">Resultados!$B$19*$B600-Resultados!$B$20*$B600-Premissas!$B$24-Resultados!$B$19*$B600*(Premissas!$B$14/100)</f>
        <v>24432.4</v>
      </c>
      <c r="Q600" s="9" t="n">
        <f aca="false">P600-$C600</f>
        <v>24432.4</v>
      </c>
      <c r="R600" s="9" t="n">
        <f aca="false">R599+Q600</f>
        <v>14154269.4800001</v>
      </c>
      <c r="S600" s="37" t="str">
        <f aca="false">IF(AND(R599&lt;0,R600&gt;=0,A600&lt;=MAX(120,Premissas!$B$15*12)),(A600-1)+(-R599)/Q600,"")</f>
        <v/>
      </c>
    </row>
    <row r="601" customFormat="false" ht="15" hidden="false" customHeight="false" outlineLevel="0" collapsed="false">
      <c r="A601" s="10" t="n">
        <f aca="false">A600+1</f>
        <v>597</v>
      </c>
      <c r="B601" s="36" t="n">
        <f aca="false">IF(Premissas!$B$9&lt;=1,1,MIN(1,Premissas!$B$8/100+(1-Premissas!$B$8/100)*(A601-1)/(Premissas!$B$9-1)))</f>
        <v>1</v>
      </c>
      <c r="C601" s="9" t="n">
        <f aca="false">IF(A601&lt;=Resultados!$B$9,Resultados!$B$10,0)</f>
        <v>0</v>
      </c>
      <c r="D601" s="9" t="n">
        <f aca="false">Resultados!$E$37*$B601-Resultados!$F$37*$B601-Premissas!$B$24-Resultados!$E$37*$B601*(Premissas!$B$14/100)</f>
        <v>19027</v>
      </c>
      <c r="E601" s="9" t="n">
        <f aca="false">D601-$C601</f>
        <v>19027</v>
      </c>
      <c r="F601" s="9" t="n">
        <f aca="false">F600+E601</f>
        <v>10969515.9</v>
      </c>
      <c r="G601" s="37" t="str">
        <f aca="false">IF(AND(F600&lt;0,F601&gt;=0,A601&lt;=MAX(120,Premissas!$B$15*12)),(A601-1)+(-F600)/E601,"")</f>
        <v/>
      </c>
      <c r="H601" s="9" t="n">
        <f aca="false">Resultados!$E$38*$B601-Resultados!$F$38*$B601-Premissas!$B$24-Resultados!$E$38*$B601*(Premissas!$B$14/100)</f>
        <v>24432.4</v>
      </c>
      <c r="I601" s="9" t="n">
        <f aca="false">H601-$C601</f>
        <v>24432.4</v>
      </c>
      <c r="J601" s="9" t="n">
        <f aca="false">J600+I601</f>
        <v>14178701.8800001</v>
      </c>
      <c r="K601" s="37" t="str">
        <f aca="false">IF(AND(J600&lt;0,J601&gt;=0,A601&lt;=MAX(120,Premissas!$B$15*12)),(A601-1)+(-J600)/I601,"")</f>
        <v/>
      </c>
      <c r="L601" s="9" t="n">
        <f aca="false">Resultados!$E$39*$B601-Resultados!$F$39*$B601-Premissas!$B$24-Resultados!$E$39*$B601*(Premissas!$B$14/100)</f>
        <v>29837.8</v>
      </c>
      <c r="M601" s="9" t="n">
        <f aca="false">L601-$C601</f>
        <v>29837.8</v>
      </c>
      <c r="N601" s="9" t="n">
        <f aca="false">N600+M601</f>
        <v>17387887.8600002</v>
      </c>
      <c r="O601" s="37" t="str">
        <f aca="false">IF(AND(N600&lt;0,N601&gt;=0,A601&lt;=MAX(120,Premissas!$B$15*12)),(A601-1)+(-N600)/M601,"")</f>
        <v/>
      </c>
      <c r="P601" s="9" t="n">
        <f aca="false">Resultados!$B$19*$B601-Resultados!$B$20*$B601-Premissas!$B$24-Resultados!$B$19*$B601*(Premissas!$B$14/100)</f>
        <v>24432.4</v>
      </c>
      <c r="Q601" s="9" t="n">
        <f aca="false">P601-$C601</f>
        <v>24432.4</v>
      </c>
      <c r="R601" s="9" t="n">
        <f aca="false">R600+Q601</f>
        <v>14178701.8800001</v>
      </c>
      <c r="S601" s="37" t="str">
        <f aca="false">IF(AND(R600&lt;0,R601&gt;=0,A601&lt;=MAX(120,Premissas!$B$15*12)),(A601-1)+(-R600)/Q601,"")</f>
        <v/>
      </c>
    </row>
    <row r="602" customFormat="false" ht="15" hidden="false" customHeight="false" outlineLevel="0" collapsed="false">
      <c r="A602" s="10" t="n">
        <f aca="false">A601+1</f>
        <v>598</v>
      </c>
      <c r="B602" s="36" t="n">
        <f aca="false">IF(Premissas!$B$9&lt;=1,1,MIN(1,Premissas!$B$8/100+(1-Premissas!$B$8/100)*(A602-1)/(Premissas!$B$9-1)))</f>
        <v>1</v>
      </c>
      <c r="C602" s="9" t="n">
        <f aca="false">IF(A602&lt;=Resultados!$B$9,Resultados!$B$10,0)</f>
        <v>0</v>
      </c>
      <c r="D602" s="9" t="n">
        <f aca="false">Resultados!$E$37*$B602-Resultados!$F$37*$B602-Premissas!$B$24-Resultados!$E$37*$B602*(Premissas!$B$14/100)</f>
        <v>19027</v>
      </c>
      <c r="E602" s="9" t="n">
        <f aca="false">D602-$C602</f>
        <v>19027</v>
      </c>
      <c r="F602" s="9" t="n">
        <f aca="false">F601+E602</f>
        <v>10988542.9</v>
      </c>
      <c r="G602" s="37" t="str">
        <f aca="false">IF(AND(F601&lt;0,F602&gt;=0,A602&lt;=MAX(120,Premissas!$B$15*12)),(A602-1)+(-F601)/E602,"")</f>
        <v/>
      </c>
      <c r="H602" s="9" t="n">
        <f aca="false">Resultados!$E$38*$B602-Resultados!$F$38*$B602-Premissas!$B$24-Resultados!$E$38*$B602*(Premissas!$B$14/100)</f>
        <v>24432.4</v>
      </c>
      <c r="I602" s="9" t="n">
        <f aca="false">H602-$C602</f>
        <v>24432.4</v>
      </c>
      <c r="J602" s="9" t="n">
        <f aca="false">J601+I602</f>
        <v>14203134.2800001</v>
      </c>
      <c r="K602" s="37" t="str">
        <f aca="false">IF(AND(J601&lt;0,J602&gt;=0,A602&lt;=MAX(120,Premissas!$B$15*12)),(A602-1)+(-J601)/I602,"")</f>
        <v/>
      </c>
      <c r="L602" s="9" t="n">
        <f aca="false">Resultados!$E$39*$B602-Resultados!$F$39*$B602-Premissas!$B$24-Resultados!$E$39*$B602*(Premissas!$B$14/100)</f>
        <v>29837.8</v>
      </c>
      <c r="M602" s="9" t="n">
        <f aca="false">L602-$C602</f>
        <v>29837.8</v>
      </c>
      <c r="N602" s="9" t="n">
        <f aca="false">N601+M602</f>
        <v>17417725.6600002</v>
      </c>
      <c r="O602" s="37" t="str">
        <f aca="false">IF(AND(N601&lt;0,N602&gt;=0,A602&lt;=MAX(120,Premissas!$B$15*12)),(A602-1)+(-N601)/M602,"")</f>
        <v/>
      </c>
      <c r="P602" s="9" t="n">
        <f aca="false">Resultados!$B$19*$B602-Resultados!$B$20*$B602-Premissas!$B$24-Resultados!$B$19*$B602*(Premissas!$B$14/100)</f>
        <v>24432.4</v>
      </c>
      <c r="Q602" s="9" t="n">
        <f aca="false">P602-$C602</f>
        <v>24432.4</v>
      </c>
      <c r="R602" s="9" t="n">
        <f aca="false">R601+Q602</f>
        <v>14203134.2800001</v>
      </c>
      <c r="S602" s="37" t="str">
        <f aca="false">IF(AND(R601&lt;0,R602&gt;=0,A602&lt;=MAX(120,Premissas!$B$15*12)),(A602-1)+(-R601)/Q602,"")</f>
        <v/>
      </c>
    </row>
    <row r="603" customFormat="false" ht="15" hidden="false" customHeight="false" outlineLevel="0" collapsed="false">
      <c r="A603" s="10" t="n">
        <f aca="false">A602+1</f>
        <v>599</v>
      </c>
      <c r="B603" s="36" t="n">
        <f aca="false">IF(Premissas!$B$9&lt;=1,1,MIN(1,Premissas!$B$8/100+(1-Premissas!$B$8/100)*(A603-1)/(Premissas!$B$9-1)))</f>
        <v>1</v>
      </c>
      <c r="C603" s="9" t="n">
        <f aca="false">IF(A603&lt;=Resultados!$B$9,Resultados!$B$10,0)</f>
        <v>0</v>
      </c>
      <c r="D603" s="9" t="n">
        <f aca="false">Resultados!$E$37*$B603-Resultados!$F$37*$B603-Premissas!$B$24-Resultados!$E$37*$B603*(Premissas!$B$14/100)</f>
        <v>19027</v>
      </c>
      <c r="E603" s="9" t="n">
        <f aca="false">D603-$C603</f>
        <v>19027</v>
      </c>
      <c r="F603" s="9" t="n">
        <f aca="false">F602+E603</f>
        <v>11007569.9</v>
      </c>
      <c r="G603" s="37" t="str">
        <f aca="false">IF(AND(F602&lt;0,F603&gt;=0,A603&lt;=MAX(120,Premissas!$B$15*12)),(A603-1)+(-F602)/E603,"")</f>
        <v/>
      </c>
      <c r="H603" s="9" t="n">
        <f aca="false">Resultados!$E$38*$B603-Resultados!$F$38*$B603-Premissas!$B$24-Resultados!$E$38*$B603*(Premissas!$B$14/100)</f>
        <v>24432.4</v>
      </c>
      <c r="I603" s="9" t="n">
        <f aca="false">H603-$C603</f>
        <v>24432.4</v>
      </c>
      <c r="J603" s="9" t="n">
        <f aca="false">J602+I603</f>
        <v>14227566.6800001</v>
      </c>
      <c r="K603" s="37" t="str">
        <f aca="false">IF(AND(J602&lt;0,J603&gt;=0,A603&lt;=MAX(120,Premissas!$B$15*12)),(A603-1)+(-J602)/I603,"")</f>
        <v/>
      </c>
      <c r="L603" s="9" t="n">
        <f aca="false">Resultados!$E$39*$B603-Resultados!$F$39*$B603-Premissas!$B$24-Resultados!$E$39*$B603*(Premissas!$B$14/100)</f>
        <v>29837.8</v>
      </c>
      <c r="M603" s="9" t="n">
        <f aca="false">L603-$C603</f>
        <v>29837.8</v>
      </c>
      <c r="N603" s="9" t="n">
        <f aca="false">N602+M603</f>
        <v>17447563.4600002</v>
      </c>
      <c r="O603" s="37" t="str">
        <f aca="false">IF(AND(N602&lt;0,N603&gt;=0,A603&lt;=MAX(120,Premissas!$B$15*12)),(A603-1)+(-N602)/M603,"")</f>
        <v/>
      </c>
      <c r="P603" s="9" t="n">
        <f aca="false">Resultados!$B$19*$B603-Resultados!$B$20*$B603-Premissas!$B$24-Resultados!$B$19*$B603*(Premissas!$B$14/100)</f>
        <v>24432.4</v>
      </c>
      <c r="Q603" s="9" t="n">
        <f aca="false">P603-$C603</f>
        <v>24432.4</v>
      </c>
      <c r="R603" s="9" t="n">
        <f aca="false">R602+Q603</f>
        <v>14227566.6800001</v>
      </c>
      <c r="S603" s="37" t="str">
        <f aca="false">IF(AND(R602&lt;0,R603&gt;=0,A603&lt;=MAX(120,Premissas!$B$15*12)),(A603-1)+(-R602)/Q603,"")</f>
        <v/>
      </c>
    </row>
    <row r="604" customFormat="false" ht="15" hidden="false" customHeight="false" outlineLevel="0" collapsed="false">
      <c r="A604" s="10" t="n">
        <f aca="false">A603+1</f>
        <v>600</v>
      </c>
      <c r="B604" s="36" t="n">
        <f aca="false">IF(Premissas!$B$9&lt;=1,1,MIN(1,Premissas!$B$8/100+(1-Premissas!$B$8/100)*(A604-1)/(Premissas!$B$9-1)))</f>
        <v>1</v>
      </c>
      <c r="C604" s="9" t="n">
        <f aca="false">IF(A604&lt;=Resultados!$B$9,Resultados!$B$10,0)</f>
        <v>0</v>
      </c>
      <c r="D604" s="9" t="n">
        <f aca="false">Resultados!$E$37*$B604-Resultados!$F$37*$B604-Premissas!$B$24-Resultados!$E$37*$B604*(Premissas!$B$14/100)</f>
        <v>19027</v>
      </c>
      <c r="E604" s="9" t="n">
        <f aca="false">D604-$C604</f>
        <v>19027</v>
      </c>
      <c r="F604" s="9" t="n">
        <f aca="false">F603+E604</f>
        <v>11026596.9</v>
      </c>
      <c r="G604" s="37" t="str">
        <f aca="false">IF(AND(F603&lt;0,F604&gt;=0,A604&lt;=MAX(120,Premissas!$B$15*12)),(A604-1)+(-F603)/E604,"")</f>
        <v/>
      </c>
      <c r="H604" s="9" t="n">
        <f aca="false">Resultados!$E$38*$B604-Resultados!$F$38*$B604-Premissas!$B$24-Resultados!$E$38*$B604*(Premissas!$B$14/100)</f>
        <v>24432.4</v>
      </c>
      <c r="I604" s="9" t="n">
        <f aca="false">H604-$C604</f>
        <v>24432.4</v>
      </c>
      <c r="J604" s="9" t="n">
        <f aca="false">J603+I604</f>
        <v>14251999.0800001</v>
      </c>
      <c r="K604" s="37" t="str">
        <f aca="false">IF(AND(J603&lt;0,J604&gt;=0,A604&lt;=MAX(120,Premissas!$B$15*12)),(A604-1)+(-J603)/I604,"")</f>
        <v/>
      </c>
      <c r="L604" s="9" t="n">
        <f aca="false">Resultados!$E$39*$B604-Resultados!$F$39*$B604-Premissas!$B$24-Resultados!$E$39*$B604*(Premissas!$B$14/100)</f>
        <v>29837.8</v>
      </c>
      <c r="M604" s="9" t="n">
        <f aca="false">L604-$C604</f>
        <v>29837.8</v>
      </c>
      <c r="N604" s="9" t="n">
        <f aca="false">N603+M604</f>
        <v>17477401.2600002</v>
      </c>
      <c r="O604" s="37" t="str">
        <f aca="false">IF(AND(N603&lt;0,N604&gt;=0,A604&lt;=MAX(120,Premissas!$B$15*12)),(A604-1)+(-N603)/M604,"")</f>
        <v/>
      </c>
      <c r="P604" s="9" t="n">
        <f aca="false">Resultados!$B$19*$B604-Resultados!$B$20*$B604-Premissas!$B$24-Resultados!$B$19*$B604*(Premissas!$B$14/100)</f>
        <v>24432.4</v>
      </c>
      <c r="Q604" s="9" t="n">
        <f aca="false">P604-$C604</f>
        <v>24432.4</v>
      </c>
      <c r="R604" s="9" t="n">
        <f aca="false">R603+Q604</f>
        <v>14251999.0800001</v>
      </c>
      <c r="S604" s="37" t="str">
        <f aca="false">IF(AND(R603&lt;0,R604&gt;=0,A604&lt;=MAX(120,Premissas!$B$15*12)),(A604-1)+(-R603)/Q604,"")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2026-10-26T14:15:45Z</dcterms:created>
  <dc:creator>openpyxl</dc:creator>
  <dc:description/>
  <dc:language>en-US</dc:language>
  <cp:lastModifiedBy/>
  <dcterms:modified xsi:type="dcterms:W3CDTF">2026-10-26T11:15:47Z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