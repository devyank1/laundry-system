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ectiv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;[Red]-&quot;R$&quot; #,##0"/>
    <numFmt numFmtId="165" formatCode="&quot;R$&quot; #,##0.00"/>
    <numFmt numFmtId="166" formatCode="0&quot;%&quot;"/>
    <numFmt numFmtId="167" formatCode="0&quot; meses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7085"/>
    </font>
    <font>
      <b val="1"/>
      <color rgb="00FFFFFF"/>
    </font>
    <font>
      <color rgb="000000FF"/>
    </font>
    <font>
      <b val="1"/>
    </font>
  </fonts>
  <fills count="4">
    <fill>
      <patternFill/>
    </fill>
    <fill>
      <patternFill patternType="gray125"/>
    </fill>
    <fill>
      <patternFill patternType="solid">
        <fgColor rgb="000B3D59"/>
      </patternFill>
    </fill>
    <fill>
      <patternFill patternType="solid">
        <fgColor rgb="00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pivotButton="0" quotePrefix="0" xfId="0"/>
    <xf numFmtId="164" fontId="0" fillId="0" borderId="0" pivotButton="0" quotePrefix="0" xfId="0"/>
    <xf numFmtId="0" fontId="5" fillId="0" borderId="0" pivotButton="0" quotePrefix="0" xfId="0"/>
    <xf numFmtId="1" fontId="5" fillId="0" borderId="0" pivotButton="0" quotePrefix="0" xfId="0"/>
    <xf numFmtId="165" fontId="4" fillId="3" borderId="0" pivotButton="0" quotePrefix="0" xfId="0"/>
    <xf numFmtId="166" fontId="4" fillId="3" borderId="0" pivotButton="0" quotePrefix="0" xfId="0"/>
    <xf numFmtId="165" fontId="0" fillId="0" borderId="0" pivotButton="0" quotePrefix="0" xfId="0"/>
    <xf numFmtId="2" fontId="0" fillId="0" borderId="0" pivotButton="0" quotePrefix="0" xfId="0"/>
    <xf numFmtId="164" fontId="5" fillId="0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4" customWidth="1" min="3" max="3"/>
    <col width="60" customWidth="1" min="4" max="4"/>
  </cols>
  <sheetData>
    <row r="1">
      <c r="A1" s="1" t="inlineStr">
        <is>
          <t>Calculadora de retorno da conectividade</t>
        </is>
      </c>
    </row>
    <row r="2">
      <c r="A2" s="2" t="inlineStr">
        <is>
          <t>Células azuis são entradas. Mesmas contas da página de referência (TelemetriaROI). Vazio em preço = '—' na página.</t>
        </is>
      </c>
    </row>
    <row r="3">
      <c r="A3" s="3" t="inlineStr">
        <is>
          <t>1 · O que o cliente tem</t>
        </is>
      </c>
      <c r="B3" s="3" t="inlineStr">
        <is>
          <t>Nº de bocas</t>
        </is>
      </c>
      <c r="C3" s="3" t="inlineStr">
        <is>
          <t>R$/ciclo</t>
        </is>
      </c>
      <c r="D3" s="4" t="n"/>
    </row>
    <row r="4">
      <c r="A4" t="inlineStr">
        <is>
          <t>Pequena (≤12 kg)</t>
        </is>
      </c>
      <c r="B4" s="5" t="n">
        <v>4</v>
      </c>
      <c r="C4" s="6" t="n">
        <v>18</v>
      </c>
    </row>
    <row r="5">
      <c r="A5" t="inlineStr">
        <is>
          <t>Média (13–18 kg)</t>
        </is>
      </c>
      <c r="B5" s="5" t="n">
        <v>2</v>
      </c>
      <c r="C5" s="6" t="n">
        <v>36</v>
      </c>
    </row>
    <row r="6">
      <c r="A6" t="inlineStr">
        <is>
          <t>Grande (19–23 kg)</t>
        </is>
      </c>
      <c r="B6" s="5" t="n">
        <v>0</v>
      </c>
      <c r="C6" s="6" t="n">
        <v>54</v>
      </c>
    </row>
    <row r="7">
      <c r="A7" t="inlineStr">
        <is>
          <t>Extra (&gt;23 kg)</t>
        </is>
      </c>
      <c r="B7" s="5" t="n">
        <v>0</v>
      </c>
      <c r="C7" s="6" t="n">
        <v>72</v>
      </c>
    </row>
    <row r="8">
      <c r="A8" s="7" t="inlineStr">
        <is>
          <t>Total de bocas</t>
        </is>
      </c>
      <c r="B8" s="8">
        <f>SUM(B4:B7)</f>
        <v/>
      </c>
    </row>
    <row r="10">
      <c r="A10" t="inlineStr">
        <is>
          <t>Ciclos/dia por boca</t>
        </is>
      </c>
      <c r="B10" s="5" t="n">
        <v>9</v>
      </c>
    </row>
    <row r="11">
      <c r="A11" t="inlineStr">
        <is>
          <t>Bocas que ainda precisam de placa</t>
        </is>
      </c>
      <c r="B11" s="5" t="n">
        <v>6</v>
      </c>
      <c r="D11" s="2" t="inlineStr">
        <is>
          <t>Máquinas dos últimos ~2 anos já vêm com placa</t>
        </is>
      </c>
    </row>
    <row r="13">
      <c r="A13" s="3" t="inlineStr">
        <is>
          <t>2 · Serviço hoje</t>
        </is>
      </c>
      <c r="B13" s="4" t="n"/>
      <c r="C13" s="4" t="n"/>
      <c r="D13" s="4" t="n"/>
    </row>
    <row r="14">
      <c r="A14" t="inlineStr">
        <is>
          <t>Problemas por máquina / ano</t>
        </is>
      </c>
      <c r="B14" s="5" t="n">
        <v>3</v>
      </c>
    </row>
    <row r="15">
      <c r="A15" t="inlineStr">
        <is>
          <t>Custo por visita técnica (R$)</t>
        </is>
      </c>
      <c r="B15" s="9" t="n">
        <v>550</v>
      </c>
    </row>
    <row r="16">
      <c r="A16" t="inlineStr">
        <is>
          <t>Problemas resolvíveis remotamente (%)</t>
        </is>
      </c>
      <c r="B16" s="10" t="n">
        <v>30</v>
      </c>
      <c r="D16" s="2" t="inlineStr">
        <is>
          <t>Na página é um slider de 0 a 100, passo 5</t>
        </is>
      </c>
    </row>
    <row r="17">
      <c r="A17" t="inlineStr">
        <is>
          <t>Dias de máquina parada por problema</t>
        </is>
      </c>
      <c r="B17" s="5" t="n">
        <v>2</v>
      </c>
    </row>
    <row r="19">
      <c r="A19" s="3" t="inlineStr">
        <is>
          <t>3 · Preços</t>
        </is>
      </c>
      <c r="B19" s="4" t="n"/>
      <c r="C19" s="4" t="n"/>
      <c r="D19" s="4" t="n"/>
    </row>
    <row r="20">
      <c r="A20" t="inlineStr">
        <is>
          <t>Gateway (R$)</t>
        </is>
      </c>
      <c r="B20" s="9" t="n">
        <v>2900</v>
      </c>
    </row>
    <row r="21">
      <c r="A21" t="inlineStr">
        <is>
          <t>Nº de gateways</t>
        </is>
      </c>
      <c r="B21" s="5" t="n">
        <v>1</v>
      </c>
    </row>
    <row r="22">
      <c r="A22" t="inlineStr">
        <is>
          <t>Placa · por boca (R$)</t>
        </is>
      </c>
      <c r="B22" s="9" t="n">
        <v>577</v>
      </c>
    </row>
    <row r="23">
      <c r="A23" t="inlineStr">
        <is>
          <t>Licença mensal · por boca (R$) — só plano Completo</t>
        </is>
      </c>
      <c r="B23" s="9" t="n">
        <v>18</v>
      </c>
    </row>
    <row r="25">
      <c r="A25" s="3" t="inlineStr">
        <is>
          <t>Cálculo</t>
        </is>
      </c>
      <c r="B25" s="4" t="n"/>
      <c r="C25" s="4" t="n"/>
      <c r="D25" s="4" t="n"/>
    </row>
    <row r="26">
      <c r="A26" t="inlineStr">
        <is>
          <t>Soma ponderada (bocas × R$/ciclo)</t>
        </is>
      </c>
      <c r="B26" s="11">
        <f>SUMPRODUCT(B4:B7,C4:C7)</f>
        <v/>
      </c>
    </row>
    <row r="27">
      <c r="A27" t="inlineStr">
        <is>
          <t>R$/ciclo médio</t>
        </is>
      </c>
      <c r="B27" s="11">
        <f>IF(B8&gt;0,B26/B8,0)</f>
        <v/>
      </c>
    </row>
    <row r="28">
      <c r="A28" t="inlineStr">
        <is>
          <t>Faturamento anual (ref.) — 365 dias</t>
        </is>
      </c>
      <c r="B28" s="6">
        <f>IF(B8&gt;0,B10*B26*365,"")</f>
        <v/>
      </c>
    </row>
    <row r="29">
      <c r="A29" t="inlineStr">
        <is>
          <t>Faturamento por boca/dia</t>
        </is>
      </c>
      <c r="B29" s="11">
        <f>B10*B27</f>
        <v/>
      </c>
    </row>
    <row r="30">
      <c r="A30" t="inlineStr">
        <is>
          <t>Problemas resolvíveis por ano</t>
        </is>
      </c>
      <c r="B30" s="12">
        <f>B8*B14*B16/100</f>
        <v/>
      </c>
    </row>
    <row r="32">
      <c r="A32" s="3" t="inlineStr">
        <is>
          <t>Economia anual — plano Gratuito</t>
        </is>
      </c>
      <c r="B32" s="4" t="n"/>
      <c r="C32" s="4" t="n"/>
      <c r="D32" s="4" t="n"/>
    </row>
    <row r="33">
      <c r="A33" t="inlineStr">
        <is>
          <t>Visitas técnicas evitadas</t>
        </is>
      </c>
      <c r="B33" s="6">
        <f>IF(B8&gt;0,B30*B15,"")</f>
        <v/>
      </c>
    </row>
    <row r="34">
      <c r="A34" t="inlineStr">
        <is>
          <t>Receita recuperada (menos parada)</t>
        </is>
      </c>
      <c r="B34" s="6">
        <f>IF(B8&gt;0,B30*B17*B29,"")</f>
        <v/>
      </c>
    </row>
    <row r="35">
      <c r="A35" s="7" t="inlineStr">
        <is>
          <t>Economia anual</t>
        </is>
      </c>
      <c r="B35" s="13">
        <f>IF(B8&gt;0,B30*B15+B30*B17*B29,"")</f>
        <v/>
      </c>
    </row>
    <row r="37">
      <c r="A37" s="3" t="inlineStr">
        <is>
          <t>Cenário A · só hardware (Gratuito)</t>
        </is>
      </c>
      <c r="B37" s="4" t="n"/>
      <c r="C37" s="4" t="n"/>
      <c r="D37" s="4" t="n"/>
    </row>
    <row r="38">
      <c r="A38" t="inlineStr">
        <is>
          <t>Investimento em hardware</t>
        </is>
      </c>
      <c r="B38" s="6">
        <f>IF(AND(ISNUMBER(B20),B8&gt;0),B20*IF(ISNUMBER(B21),B21,1)+IF(ISNUMBER(B22),B22,0)*B11,"")</f>
        <v/>
      </c>
    </row>
    <row r="39">
      <c r="A39" s="7" t="inlineStr">
        <is>
          <t>Payback do hardware (meses)</t>
        </is>
      </c>
      <c r="B39" s="14">
        <f>IF(AND(ISNUMBER(B38),N(B35)&gt;0),MAX(1,ROUNDUP(B38/(B35/12),0)),"")</f>
        <v/>
      </c>
    </row>
    <row r="40">
      <c r="A40" t="inlineStr">
        <is>
          <t>Resultado líquido em 3 anos</t>
        </is>
      </c>
      <c r="B40" s="6">
        <f>IF(ISNUMBER(B38),N(B35)*3-B38,"")</f>
        <v/>
      </c>
    </row>
    <row r="42">
      <c r="A42" s="3" t="inlineStr">
        <is>
          <t>Cenário B · hardware + plano Completo</t>
        </is>
      </c>
      <c r="B42" s="4" t="n"/>
      <c r="C42" s="4" t="n"/>
      <c r="D42" s="4" t="n"/>
    </row>
    <row r="43">
      <c r="A43" t="inlineStr">
        <is>
          <t>Custo anual do plano</t>
        </is>
      </c>
      <c r="B43" s="6">
        <f>IF(AND(ISNUMBER(B23),B8&gt;0),B23*B8*12,"")</f>
        <v/>
      </c>
    </row>
    <row r="44">
      <c r="A44" t="inlineStr">
        <is>
          <t>Economia líquida por ano</t>
        </is>
      </c>
      <c r="B44" s="6">
        <f>IF(ISNUMBER(B43),N(B35)-B43,"")</f>
        <v/>
      </c>
    </row>
    <row r="45">
      <c r="A45" t="inlineStr">
        <is>
          <t>Resultado líquido em 3 anos</t>
        </is>
      </c>
      <c r="B45" s="6">
        <f>IF(AND(ISNUMBER(B43),ISNUMBER(B38)),N(B35)*3-B38-B43*3,"")</f>
        <v/>
      </c>
    </row>
    <row r="47">
      <c r="A47" s="2" t="inlineStr">
        <is>
          <t>Aviso: estimativa de apoio à decisão; os valores dependem dos dados informados e não garantem resultado.</t>
        </is>
      </c>
    </row>
    <row r="48">
      <c r="A48" s="2" t="inlineStr">
        <is>
          <t>Arredondamento do payback: em casos raros de ruído de ponto flutuante, ROUNDUP pode diferir em 1 mês do Math.ceil do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2026-10-27T17:48:44Z</dcterms:created>
  <dcterms:modified xmlns:dcterms="http://purl.org/dc/terms/" xmlns:xsi="http://www.w3.org/2001/XMLSchema-instance" xsi:type="dcterms:W3CDTF">2026-10-27T17:48:44Z</dcterms:modified>
</cp:coreProperties>
</file>